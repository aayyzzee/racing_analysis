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2"/>
    <sheet name="School Trend" sheetId="2" state="visible" r:id="rId3"/>
    <sheet name="Event Deep Dive" sheetId="3" state="visible" r:id="rId4"/>
    <sheet name="Field Overview" sheetId="4" state="visible" r:id="rId5"/>
    <sheet name="Leaderboards" sheetId="5" state="visible" r:id="rId6"/>
    <sheet name="2026 Results" sheetId="6" state="visible" r:id="rId7"/>
    <sheet name="Competitors" sheetId="7" state="visible" r:id="rId8"/>
    <sheet name="Car Specs Analysis" sheetId="8" state="visible" r:id="rId9"/>
    <sheet name="Car Specs Data" sheetId="9" state="visible" r:id="rId10"/>
    <sheet name="Formula Hybrid" sheetId="10" state="visible" r:id="rId11"/>
    <sheet name="Results Data" sheetId="11" state="visible" r:id="rId12"/>
    <sheet name="Data Quality" sheetId="12" state="visible" r:id="rId13"/>
    <sheet name="Sources &amp; Notes" sheetId="13" state="visible" r:id="rId14"/>
  </sheets>
  <definedNames>
    <definedName function="false" hidden="true" localSheetId="8" name="_xlnm._FilterDatabase" vbProcedure="false">'Car Specs Data'!$A$4:$J$293</definedName>
    <definedName function="false" hidden="true" localSheetId="10" name="_xlnm._FilterDatabase" vbProcedure="false">'Results Data'!$A$3:$T$418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<sst xmlns="http://schemas.openxmlformats.org/spreadsheetml/2006/main" count="2647" uniqueCount="487">
  <si>
    <t xml:space="preserve">[SCHOOL] RACING PERFORMANCE ANALYSIS  |  2022-2026</t>
  </si>
  <si>
    <t xml:space="preserve">[SCHOOL] at FSAE Michigan (Electric) 2022-2026, plus Formula Hybrid+Electric 2026. Built from the SAE official 2026 results and the 2022-2025 data in the original workbook.</t>
  </si>
  <si>
    <t xml:space="preserve">2026 MICHIGAN FINISH</t>
  </si>
  <si>
    <t xml:space="preserve">2026 SCORE</t>
  </si>
  <si>
    <t xml:space="preserve">CHANGE VS 2025</t>
  </si>
  <si>
    <t xml:space="preserve">GAP TO 2026 WINNER</t>
  </si>
  <si>
    <t xml:space="preserve">YEAR BY YEAR (ranked field only)</t>
  </si>
  <si>
    <t xml:space="preserve">Year</t>
  </si>
  <si>
    <t xml:space="preserve">Place</t>
  </si>
  <si>
    <t xml:space="preserve">Ranked teams</t>
  </si>
  <si>
    <t xml:space="preserve">[SCHOOL] score</t>
  </si>
  <si>
    <t xml:space="preserve">Winner score</t>
  </si>
  <si>
    <t xml:space="preserve">Field avg</t>
  </si>
  <si>
    <t xml:space="preserve">Gap to winner</t>
  </si>
  <si>
    <t xml:space="preserve">Vs field avg</t>
  </si>
  <si>
    <t xml:space="preserve">Percentile</t>
  </si>
  <si>
    <t xml:space="preserve">Cost</t>
  </si>
  <si>
    <t xml:space="preserve">Design</t>
  </si>
  <si>
    <t xml:space="preserve">Endurance</t>
  </si>
  <si>
    <t xml:space="preserve">KEY TAKEAWAYS (numbers computed from the data)</t>
  </si>
  <si>
    <t xml:space="preserve">1.  2026 was [SCHOOL]'s best Michigan finish since 2023: 4th of 88 with 756.9 pts, up 238.9 pts (46.1%) from 2025.</t>
  </si>
  <si>
    <t xml:space="preserve">2.  Cost was 1st of 85 teams at Michigan 2026 (98.0 pts). Design was 4th and acceleration 5th.</t>
  </si>
  <si>
    <t xml:space="preserve">3.  Biggest points left on the table in 2026: endurance (88.8 of 275 missed), presentation (44.8 of 75 missed, 46th of 108 entries with a score) and efficiency (58.6 of 100 missed).</t>
  </si>
  <si>
    <t xml:space="preserve">4.  Gap to the winner shrank from 272.4 pts in 2025 to 138.6 pts in 2026 (winner: Oregon State Univ, 895.5).</t>
  </si>
  <si>
    <t xml:space="preserve">5.  Formula Hybrid+Electric 2026: [SCHOOL] won the electric class (organizer results). Separate competition with its own scoring, so points are not compared with Michigan.</t>
  </si>
  <si>
    <t xml:space="preserve">Verification status: 2026 figures were checked row by row against the SAE official results PDF. 2022 and 2025 places and totals were checked against the official PDFs, 2023 and 2024 against FS World. 2023-2024 specs are unverified. See Data Quality and Sources &amp; Notes.</t>
  </si>
  <si>
    <t xml:space="preserve">[SCHOOL] TREND  |  MICHIGAN ELECTRIC 2022-2026</t>
  </si>
  <si>
    <t xml:space="preserve">Formulas read from Results Data. Field = ranked teams only (teams with a numeric overall place).</t>
  </si>
  <si>
    <t xml:space="preserve">YEARLY TOTALS</t>
  </si>
  <si>
    <t xml:space="preserve">[SCHOOL] / winner</t>
  </si>
  <si>
    <t xml:space="preserve">Field median</t>
  </si>
  <si>
    <t xml:space="preserve">Winner</t>
  </si>
  <si>
    <t xml:space="preserve">10th-place score</t>
  </si>
  <si>
    <t xml:space="preserve">Ecole Polytechnique Montreal</t>
  </si>
  <si>
    <t xml:space="preserve">Ecole de Technologie Superieure</t>
  </si>
  <si>
    <t xml:space="preserve">Rochester Institute of Technology</t>
  </si>
  <si>
    <t xml:space="preserve">Oregon State Univ</t>
  </si>
  <si>
    <t xml:space="preserve">Median and 10th-place score are computed from Results Data (static values). Percentile = 1 - (place - 1) / (ranked teams - 1); first place = 100%.</t>
  </si>
  <si>
    <t xml:space="preserve">EVENT POINTS BY YEAR ([SCHOOL])</t>
  </si>
  <si>
    <t xml:space="preserve">Event</t>
  </si>
  <si>
    <t xml:space="preserve">Max pts</t>
  </si>
  <si>
    <t xml:space="preserve">2022</t>
  </si>
  <si>
    <t xml:space="preserve">2023</t>
  </si>
  <si>
    <t xml:space="preserve">2024</t>
  </si>
  <si>
    <t xml:space="preserve">2025</t>
  </si>
  <si>
    <t xml:space="preserve">2026</t>
  </si>
  <si>
    <t xml:space="preserve">Best year</t>
  </si>
  <si>
    <t xml:space="preserve">Presentation</t>
  </si>
  <si>
    <t xml:space="preserve">Accel</t>
  </si>
  <si>
    <t xml:space="preserve">Skid Pad</t>
  </si>
  <si>
    <t xml:space="preserve">Autocross</t>
  </si>
  <si>
    <t xml:space="preserve">Efficiency</t>
  </si>
  <si>
    <t xml:space="preserve">EVENT SCORE AS % OF MAX POINTS (chart data)</t>
  </si>
  <si>
    <t xml:space="preserve">2025 Efficiency shows 0%: [SCHOOL] did not score in the efficiency event that year (DNS in the source data).</t>
  </si>
  <si>
    <t xml:space="preserve">EVENT DEEP DIVE  |  [SCHOOL] RANK IN EVERY EVENT</t>
  </si>
  <si>
    <t xml:space="preserve">Rank = 1 + number of teams with a higher score, among teams that scored above 0 in that event. Event data for 2022 is partial in the source, so 2022 ranks are less reliable.</t>
  </si>
  <si>
    <t xml:space="preserve">2022  |  [SCHOOL] placed #5 of 43 ranked teams  |  646.0 pts</t>
  </si>
  <si>
    <t xml:space="preserve">% of max</t>
  </si>
  <si>
    <t xml:space="preserve">[SCHOOL] rank</t>
  </si>
  <si>
    <t xml:space="preserve">Teams scored</t>
  </si>
  <si>
    <t xml:space="preserve">Rank percentile</t>
  </si>
  <si>
    <t xml:space="preserve">Field avg (scored)</t>
  </si>
  <si>
    <t xml:space="preserve">Field best (team)</t>
  </si>
  <si>
    <t xml:space="preserve">[SCHOOL] site rank</t>
  </si>
  <si>
    <t xml:space="preserve">90.9  (McGill Univ)</t>
  </si>
  <si>
    <t xml:space="preserve">75.0  (Ryerson Univ)</t>
  </si>
  <si>
    <t xml:space="preserve">150.0  (Ecole De Technologie Sup)</t>
  </si>
  <si>
    <t xml:space="preserve">100.0  (Oregon State Univ)</t>
  </si>
  <si>
    <t xml:space="preserve">75.0  (Univ of Michigan - Ann A)</t>
  </si>
  <si>
    <t xml:space="preserve">125.0  (Oregon State Univ)</t>
  </si>
  <si>
    <t xml:space="preserve">275.0  (Ecole Polytechnique Mont)</t>
  </si>
  <si>
    <t xml:space="preserve">100.0  (Univ of Texas - Austin)</t>
  </si>
  <si>
    <t xml:space="preserve">-</t>
  </si>
  <si>
    <t xml:space="preserve">2023  |  [SCHOOL] placed #2 of 61 ranked teams  |  762.4 pts</t>
  </si>
  <si>
    <t xml:space="preserve">99.0  (Kennesaw State Universit)</t>
  </si>
  <si>
    <t xml:space="preserve">75.0  (Toronto Metropolitan Uni)</t>
  </si>
  <si>
    <t xml:space="preserve">150.0  (McGill Univ)</t>
  </si>
  <si>
    <t xml:space="preserve">100.0  (Georgia Institute of Tec)</t>
  </si>
  <si>
    <t xml:space="preserve">75.0  (Georgia Institute of Tec)</t>
  </si>
  <si>
    <t xml:space="preserve">125.0  (Ecole de Technologie Sup)</t>
  </si>
  <si>
    <t xml:space="preserve">275.0  (Ecole de Technologie Sup)</t>
  </si>
  <si>
    <t xml:space="preserve">100.0  (Univ of Texas - Arlingto)</t>
  </si>
  <si>
    <t xml:space="preserve">2024  |  [SCHOOL] placed #14 of 70 ranked teams  |  589.9 pts</t>
  </si>
  <si>
    <t xml:space="preserve">96.9  (Kennesaw State Universit)</t>
  </si>
  <si>
    <t xml:space="preserve">75.0  (Kennesaw State Universit)</t>
  </si>
  <si>
    <t xml:space="preserve">125.0  (Georgia Institute of Tec)</t>
  </si>
  <si>
    <t xml:space="preserve">275.0  (Univ of Washington)</t>
  </si>
  <si>
    <t xml:space="preserve">100.0  (Cornell Univ)</t>
  </si>
  <si>
    <t xml:space="preserve">2025  |  [SCHOOL] placed #13 of 78 ranked teams  |  518.0 pts</t>
  </si>
  <si>
    <t xml:space="preserve">90.4  (Univ of Pennsylvania)</t>
  </si>
  <si>
    <t xml:space="preserve">75.0  (Rochester Institute of T)</t>
  </si>
  <si>
    <t xml:space="preserve">150.0  (Univ of Wisconsin - Madi)</t>
  </si>
  <si>
    <t xml:space="preserve">75.0  (Oregon State Univ)</t>
  </si>
  <si>
    <t xml:space="preserve">125.0  (Univ of Washington)</t>
  </si>
  <si>
    <t xml:space="preserve">275.0  (San Jose State Universit)</t>
  </si>
  <si>
    <t xml:space="preserve">DNF</t>
  </si>
  <si>
    <t xml:space="preserve">DNS</t>
  </si>
  <si>
    <t xml:space="preserve">2026  |  [SCHOOL] placed #4 of 88 ranked teams  |  756.9 pts</t>
  </si>
  <si>
    <t xml:space="preserve">98.0  ([SCHOOL])</t>
  </si>
  <si>
    <t xml:space="preserve">100.0  (Univ of Wisconsin - Madi)</t>
  </si>
  <si>
    <t xml:space="preserve">125.0  (Rochester Institute of T)</t>
  </si>
  <si>
    <t xml:space="preserve">275.0  (Oregon State Univ)</t>
  </si>
  <si>
    <t xml:space="preserve">100.0  (Univ of Pittsburgh - Pit)</t>
  </si>
  <si>
    <t xml:space="preserve">[SCHOOL] site rank: event placings listed on the [SCHOOL] team site, shown as a cross-check. Differences: 2022 (source scores incomplete), 2023 presentation (31 vs 32), 2025 endurance (data shows 21 pts, site says DNF), 2026 skid pad (data gives 8th, site says 7th) and 2026 presentation (SAE results PDF lists [SCHOOL] 46th, site says 37th; PDF used).</t>
  </si>
  <si>
    <t xml:space="preserve">Chart data: 2026, % of max points</t>
  </si>
  <si>
    <t xml:space="preserve">[SCHOOL]</t>
  </si>
  <si>
    <t xml:space="preserve">Field best</t>
  </si>
  <si>
    <t xml:space="preserve">FIELD OVERVIEW  |  HOW STRONG WAS THE FIELD?</t>
  </si>
  <si>
    <t xml:space="preserve">Statistics use ranked teams only. Counts, winner, average from live formulas; median, spread and cutoffs computed from Results Data.</t>
  </si>
  <si>
    <t xml:space="preserve">FIELD STATISTICS BY YEAR</t>
  </si>
  <si>
    <t xml:space="preserve">Std dev</t>
  </si>
  <si>
    <t xml:space="preserve">10th place</t>
  </si>
  <si>
    <t xml:space="preserve">[SCHOOL] place</t>
  </si>
  <si>
    <t xml:space="preserve">[SCHOOL] vs median</t>
  </si>
  <si>
    <t xml:space="preserve">Entries incl. unranked</t>
  </si>
  <si>
    <t xml:space="preserve">2025: the original workbook listed 80 active teams but only 78 had a numeric overall place, so 78 is used. 2026: 88 ranked finishers plus 20 presentation-only entries (not ranked, excluded from the field).</t>
  </si>
  <si>
    <t xml:space="preserve">ENDURANCE SCORING RATE  |  how many teams actually finished laps</t>
  </si>
  <si>
    <t xml:space="preserve">Teams with endurance pts</t>
  </si>
  <si>
    <t xml:space="preserve">Scoring rate</t>
  </si>
  <si>
    <t xml:space="preserve">Avg (scored)</t>
  </si>
  <si>
    <t xml:space="preserve">Median (scored)</t>
  </si>
  <si>
    <t xml:space="preserve">Best</t>
  </si>
  <si>
    <t xml:space="preserve">[SCHOOL] endurance</t>
  </si>
  <si>
    <t xml:space="preserve">[SCHOOL] vs avg</t>
  </si>
  <si>
    <t xml:space="preserve">EVENT AVERAGES  |  field average per event (teams that scored) and [SCHOOL] difference</t>
  </si>
  <si>
    <t xml:space="preserve">Max</t>
  </si>
  <si>
    <t xml:space="preserve">2022 avg</t>
  </si>
  <si>
    <t xml:space="preserve">2023 avg</t>
  </si>
  <si>
    <t xml:space="preserve">2024 avg</t>
  </si>
  <si>
    <t xml:space="preserve">2025 avg</t>
  </si>
  <si>
    <t xml:space="preserve">2026 avg</t>
  </si>
  <si>
    <t xml:space="preserve">[SCHOOL] 2022 vs avg</t>
  </si>
  <si>
    <t xml:space="preserve">[SCHOOL] 2023 vs avg</t>
  </si>
  <si>
    <t xml:space="preserve">[SCHOOL] 2024 vs avg</t>
  </si>
  <si>
    <t xml:space="preserve">[SCHOOL] 2025 vs avg</t>
  </si>
  <si>
    <t xml:space="preserve">[SCHOOL] 2026 vs avg</t>
  </si>
  <si>
    <t xml:space="preserve">Averages cover ranked teams that scored above 0 in the event. In 2022 only a handful of teams have accel, skid pad, autocross and efficiency scores in the source, so those averages are not comparable with later years.</t>
  </si>
  <si>
    <t xml:space="preserve">ANNUAL LEADERBOARDS  |  TOP 10 EACH YEAR</t>
  </si>
  <si>
    <t xml:space="preserve">[SCHOOL] rows highlighted. 2022-2025: original workbook data. 2026: SAE official results.</t>
  </si>
  <si>
    <t xml:space="preserve">2022  |  43 ranked</t>
  </si>
  <si>
    <t xml:space="preserve">2023  |  61 ranked</t>
  </si>
  <si>
    <t xml:space="preserve">2024  |  70 ranked</t>
  </si>
  <si>
    <t xml:space="preserve">2025  |  78 ranked</t>
  </si>
  <si>
    <t xml:space="preserve">2026  |  88 ranked</t>
  </si>
  <si>
    <t xml:space="preserve">#</t>
  </si>
  <si>
    <t xml:space="preserve">Team</t>
  </si>
  <si>
    <t xml:space="preserve">Total</t>
  </si>
  <si>
    <t xml:space="preserve">Univ of Michigan - Ann Arbor</t>
  </si>
  <si>
    <t xml:space="preserve">[SCHOOL]</t>
  </si>
  <si>
    <t xml:space="preserve">San Jose State University</t>
  </si>
  <si>
    <t xml:space="preserve">Georgia Institute of Technology</t>
  </si>
  <si>
    <t xml:space="preserve">Univ of Washington</t>
  </si>
  <si>
    <t xml:space="preserve">Univ of Wisconsin - Madison</t>
  </si>
  <si>
    <t xml:space="preserve">Univ of Pittsburgh - Pittsburgh</t>
  </si>
  <si>
    <t xml:space="preserve">Univ of Toronto</t>
  </si>
  <si>
    <t xml:space="preserve">Univ of Connecticut</t>
  </si>
  <si>
    <t xml:space="preserve">Ecole De Technologie Superieure</t>
  </si>
  <si>
    <t xml:space="preserve">Kennesaw State University</t>
  </si>
  <si>
    <t xml:space="preserve">Cornell Univ</t>
  </si>
  <si>
    <t xml:space="preserve">Univ of Texas - Austin</t>
  </si>
  <si>
    <t xml:space="preserve">Univ of Minnesota - Twin Cities</t>
  </si>
  <si>
    <t xml:space="preserve">Univ of Illinois - Urbana Champaign</t>
  </si>
  <si>
    <t xml:space="preserve">National Univ of Singapore</t>
  </si>
  <si>
    <t xml:space="preserve">California Polytechnic State Univ-SLO</t>
  </si>
  <si>
    <t xml:space="preserve">Virginia Tech</t>
  </si>
  <si>
    <t xml:space="preserve">Kookmin Univ</t>
  </si>
  <si>
    <t xml:space="preserve">Univ of Pennsylvania</t>
  </si>
  <si>
    <t xml:space="preserve">Univ of Texas - Arlington</t>
  </si>
  <si>
    <t xml:space="preserve">Massachusetts Inst of Tech</t>
  </si>
  <si>
    <t xml:space="preserve">McGill Univ</t>
  </si>
  <si>
    <t xml:space="preserve">Purdue Univ - W Lafayette</t>
  </si>
  <si>
    <t xml:space="preserve">2026 MICHIGAN ELECTRIC  |  FULL OFFICIAL RESULTS</t>
  </si>
  <si>
    <t xml:space="preserve">All 88 ranked teams, copied from the SAE official results PDF (printed 6/28/2026). Blank event cell = team did not score in that event. Column O is a live check.</t>
  </si>
  <si>
    <t xml:space="preserve">Car #</t>
  </si>
  <si>
    <t xml:space="preserve">Present-ation</t>
  </si>
  <si>
    <t xml:space="preserve">Auto-cross</t>
  </si>
  <si>
    <t xml:space="preserve">Endur-ance</t>
  </si>
  <si>
    <t xml:space="preserve">Effi-ciency</t>
  </si>
  <si>
    <t xml:space="preserve">Penalty</t>
  </si>
  <si>
    <t xml:space="preserve">Event sum + penalty</t>
  </si>
  <si>
    <t xml:space="preserve">Diff vs reported</t>
  </si>
  <si>
    <t xml:space="preserve">Texas A&amp;M Univ</t>
  </si>
  <si>
    <t xml:space="preserve">Univ of Akron</t>
  </si>
  <si>
    <t xml:space="preserve">Auburn Univ</t>
  </si>
  <si>
    <t xml:space="preserve">Western Washington Univ</t>
  </si>
  <si>
    <t xml:space="preserve">Univ of Kansas - Lawrence</t>
  </si>
  <si>
    <t xml:space="preserve">Concordia University</t>
  </si>
  <si>
    <t xml:space="preserve">Rensselaer Polytechnic Inst</t>
  </si>
  <si>
    <t xml:space="preserve">Northwestern Univ</t>
  </si>
  <si>
    <t xml:space="preserve">Univ of Calgary</t>
  </si>
  <si>
    <t xml:space="preserve">Univ of Maryland - College Park</t>
  </si>
  <si>
    <t xml:space="preserve">Univ of Calif - Los Angeles</t>
  </si>
  <si>
    <t xml:space="preserve">Univ of North Carolina - Charlotte</t>
  </si>
  <si>
    <t xml:space="preserve">Univ of Florida</t>
  </si>
  <si>
    <t xml:space="preserve">Univ of New Mexico</t>
  </si>
  <si>
    <t xml:space="preserve">Univ of Calif - Santa Barbara</t>
  </si>
  <si>
    <t xml:space="preserve">Louisiana State Univ</t>
  </si>
  <si>
    <t xml:space="preserve">Univ of Southern California</t>
  </si>
  <si>
    <t xml:space="preserve">North Carolina State Univ - Raleigh</t>
  </si>
  <si>
    <t xml:space="preserve">Columbia Univ</t>
  </si>
  <si>
    <t xml:space="preserve">Université Laval</t>
  </si>
  <si>
    <t xml:space="preserve">Toronto Metropolitan University</t>
  </si>
  <si>
    <t xml:space="preserve">Univ of Calif - Berkeley</t>
  </si>
  <si>
    <t xml:space="preserve">Iowa State Univ</t>
  </si>
  <si>
    <t xml:space="preserve">Univ of Nevada - Reno</t>
  </si>
  <si>
    <t xml:space="preserve">Michigan State University</t>
  </si>
  <si>
    <t xml:space="preserve">Univ of Calif - Santa Cruz</t>
  </si>
  <si>
    <t xml:space="preserve">Univ of Alberta</t>
  </si>
  <si>
    <t xml:space="preserve">Univ of Calif - Davis</t>
  </si>
  <si>
    <t xml:space="preserve">California State Poly Univ - Pomona</t>
  </si>
  <si>
    <t xml:space="preserve">Univ of Waterloo</t>
  </si>
  <si>
    <t xml:space="preserve">McMaster Univ</t>
  </si>
  <si>
    <t xml:space="preserve">San Diego State Univ</t>
  </si>
  <si>
    <t xml:space="preserve">Missouri University of Science and Tech</t>
  </si>
  <si>
    <t xml:space="preserve">Univ of Victoria</t>
  </si>
  <si>
    <t xml:space="preserve">Rutgers Univ</t>
  </si>
  <si>
    <t xml:space="preserve">Western University</t>
  </si>
  <si>
    <t xml:space="preserve">Univ of Cincinnati</t>
  </si>
  <si>
    <t xml:space="preserve">Univ of Calif - San Diego</t>
  </si>
  <si>
    <t xml:space="preserve">Univ of British Columbia - Okanagan</t>
  </si>
  <si>
    <t xml:space="preserve">Texas Tech Univ</t>
  </si>
  <si>
    <t xml:space="preserve">Univ of Manitoba</t>
  </si>
  <si>
    <t xml:space="preserve">Univ of British Columbia</t>
  </si>
  <si>
    <t xml:space="preserve">Northeastern Univ</t>
  </si>
  <si>
    <t xml:space="preserve">Penn State Univ - University Park</t>
  </si>
  <si>
    <t xml:space="preserve">Univ of Calif - Irvine</t>
  </si>
  <si>
    <t xml:space="preserve">Clarkson University</t>
  </si>
  <si>
    <t xml:space="preserve">Univ of Michigan - Dearborn</t>
  </si>
  <si>
    <t xml:space="preserve">Univ of Windsor</t>
  </si>
  <si>
    <t xml:space="preserve">Univ of Puerto Rico-Mayaquez</t>
  </si>
  <si>
    <t xml:space="preserve">California Baptist University</t>
  </si>
  <si>
    <t xml:space="preserve">Queen's Univ</t>
  </si>
  <si>
    <t xml:space="preserve">Colorado State University</t>
  </si>
  <si>
    <t xml:space="preserve">Univ of North Texas</t>
  </si>
  <si>
    <t xml:space="preserve">Univ of Colorado - Boulder</t>
  </si>
  <si>
    <t xml:space="preserve">Drexel Univ</t>
  </si>
  <si>
    <t xml:space="preserve">Universite Du Quebec a Trois-Rivieres</t>
  </si>
  <si>
    <t xml:space="preserve">Santa Clara Univ</t>
  </si>
  <si>
    <t xml:space="preserve">Rose Hulman Institute of Technology</t>
  </si>
  <si>
    <t xml:space="preserve">Brigham Young University</t>
  </si>
  <si>
    <t xml:space="preserve">Western Michigan Univ</t>
  </si>
  <si>
    <t xml:space="preserve">Saint Louis University</t>
  </si>
  <si>
    <t xml:space="preserve">Univ of Nevada - Las Vegas</t>
  </si>
  <si>
    <t xml:space="preserve">California Institute of Technology</t>
  </si>
  <si>
    <t xml:space="preserve">PRESENTATION-ONLY ENTRIES (not ranked overall)</t>
  </si>
  <si>
    <t xml:space="preserve">The Ohio State University</t>
  </si>
  <si>
    <t xml:space="preserve">Cooper Union for Adv Science &amp; Art</t>
  </si>
  <si>
    <t xml:space="preserve">Univ of Virginia</t>
  </si>
  <si>
    <t xml:space="preserve">Universidad de Piura</t>
  </si>
  <si>
    <t xml:space="preserve">Univ of Georgia</t>
  </si>
  <si>
    <t xml:space="preserve">Kettering Univ</t>
  </si>
  <si>
    <t xml:space="preserve">Cleveland State Univ</t>
  </si>
  <si>
    <t xml:space="preserve">Univ of Texas - Dallas</t>
  </si>
  <si>
    <t xml:space="preserve">Binghamton Univ</t>
  </si>
  <si>
    <t xml:space="preserve">Universidad Politecnica de Chihuahua</t>
  </si>
  <si>
    <t xml:space="preserve">Univ of Alabama - Tuscaloosa</t>
  </si>
  <si>
    <t xml:space="preserve">Rowan Univ</t>
  </si>
  <si>
    <t xml:space="preserve">Illinois Institute of Technology</t>
  </si>
  <si>
    <t xml:space="preserve">Univ of Calif - Riverside</t>
  </si>
  <si>
    <t xml:space="preserve">Univ of California-Merced</t>
  </si>
  <si>
    <t xml:space="preserve">Elon Univ</t>
  </si>
  <si>
    <t xml:space="preserve">Conestoga College</t>
  </si>
  <si>
    <t xml:space="preserve">Washington State University Vancouver</t>
  </si>
  <si>
    <t xml:space="preserve">Univ of Hawaii - Manoa</t>
  </si>
  <si>
    <t xml:space="preserve">COMPETITOR TRACKER  |  RANK AND SCORE, 2022-2026</t>
  </si>
  <si>
    <t xml:space="preserve">Teams that finished in the top 10 in two or more years, plus [SCHOOL]. Blank = not ranked / no result that year.</t>
  </si>
  <si>
    <t xml:space="preserve">TRACKER</t>
  </si>
  <si>
    <t xml:space="preserve">2022 place</t>
  </si>
  <si>
    <t xml:space="preserve">2022 pts</t>
  </si>
  <si>
    <t xml:space="preserve">2023 place</t>
  </si>
  <si>
    <t xml:space="preserve">2023 pts</t>
  </si>
  <si>
    <t xml:space="preserve">2024 place</t>
  </si>
  <si>
    <t xml:space="preserve">2024 pts</t>
  </si>
  <si>
    <t xml:space="preserve">2025 place</t>
  </si>
  <si>
    <t xml:space="preserve">2025 pts</t>
  </si>
  <si>
    <t xml:space="preserve">2026 place</t>
  </si>
  <si>
    <t xml:space="preserve">2026 pts</t>
  </si>
  <si>
    <t xml:space="preserve">Change 2025 to 2026 (pts)</t>
  </si>
  <si>
    <t xml:space="preserve">2026 vs [SCHOOL] (pts)</t>
  </si>
  <si>
    <t xml:space="preserve">Trend</t>
  </si>
  <si>
    <t xml:space="preserve">BIGGEST MOVERS 2025 TO 2026 (teams ranked in both years)</t>
  </si>
  <si>
    <t xml:space="preserve">Change</t>
  </si>
  <si>
    <t xml:space="preserve">[SCHOOL] gained 238.9 pts from 2025 to 2026, the 12th-biggest gain among the 69 teams ranked in both years.</t>
  </si>
  <si>
    <t xml:space="preserve">CAR SPECS ANALYSIS  |  DO WEIGHT, VOLTAGE AND MOTORS MATTER?</t>
  </si>
  <si>
    <t xml:space="preserve">Ranked teams with reported specs, 2023-2026. Descriptive only: teams that score well differ in many ways, so these are patterns, not proof of cause. Weight excludes 3 teams in 2026 whose weight is without battery pack.</t>
  </si>
  <si>
    <t xml:space="preserve">CORRELATION WITH TOTAL SCORE (Pearson r; teams with spec data)</t>
  </si>
  <si>
    <t xml:space="preserve">Spec</t>
  </si>
  <si>
    <t xml:space="preserve">All 4 years</t>
  </si>
  <si>
    <t xml:space="preserve">Teams (all)</t>
  </si>
  <si>
    <t xml:space="preserve">Weight (kg)</t>
  </si>
  <si>
    <t xml:space="preserve">Voltage (V)</t>
  </si>
  <si>
    <t xml:space="preserve">Motors</t>
  </si>
  <si>
    <t xml:space="preserve">r near 0 means no clear linear link; negative means heavier / higher values go with lower scores. A few teams have no score data for every event, so total score also reflects whether a team finished the dynamic events.</t>
  </si>
  <si>
    <t xml:space="preserve">MOTORS  |  average total score by number of motors</t>
  </si>
  <si>
    <t xml:space="preserve">All years avg</t>
  </si>
  <si>
    <t xml:space="preserve">Best total</t>
  </si>
  <si>
    <t xml:space="preserve">1 motor</t>
  </si>
  <si>
    <t xml:space="preserve">2 motors</t>
  </si>
  <si>
    <t xml:space="preserve">3 motors</t>
  </si>
  <si>
    <t xml:space="preserve">4 motors</t>
  </si>
  <si>
    <t xml:space="preserve">Cells are blank when fewer than 3 teams had that setup. 3-motor and 2-motor counts are small.</t>
  </si>
  <si>
    <t xml:space="preserve">WEIGHT  |  average total score by weight bracket</t>
  </si>
  <si>
    <t xml:space="preserve">Weight bracket</t>
  </si>
  <si>
    <t xml:space="preserve">under 190 kg</t>
  </si>
  <si>
    <t xml:space="preserve">190-199.9</t>
  </si>
  <si>
    <t xml:space="preserve">200-209.9</t>
  </si>
  <si>
    <t xml:space="preserve">210-219.9</t>
  </si>
  <si>
    <t xml:space="preserve">220-239.9</t>
  </si>
  <si>
    <t xml:space="preserve">240 kg and over</t>
  </si>
  <si>
    <t xml:space="preserve">VOLTAGE  |  average total score by tractive voltage bracket</t>
  </si>
  <si>
    <t xml:space="preserve">Voltage bracket</t>
  </si>
  <si>
    <t xml:space="preserve">under 400 V</t>
  </si>
  <si>
    <t xml:space="preserve">400-499 V</t>
  </si>
  <si>
    <t xml:space="preserve">500-599 V</t>
  </si>
  <si>
    <t xml:space="preserve">600 V and over</t>
  </si>
  <si>
    <t xml:space="preserve">[SCHOOL] CAR SPECS BY YEAR</t>
  </si>
  <si>
    <t xml:space="preserve">Weight rank (1 = lightest)</t>
  </si>
  <si>
    <t xml:space="preserve">Of teams with weight</t>
  </si>
  <si>
    <t xml:space="preserve">[SCHOOL] 2022 specs are not in the source data. 2023-2025 specs come from the original workbook (not independently re-verified). 2026 specs come from the SAE team information pages ("For Information Only, Not Validated").</t>
  </si>
  <si>
    <t xml:space="preserve">CAR SPECS DATA  |  ranked teams with spec data, 2023-2026</t>
  </si>
  <si>
    <t xml:space="preserve">Motors, tractive voltage and vehicle weight as reported by teams to SAE. SAE marks the 2026 team information "For Information Only, Not Validated". 2022 has specs for only 5 teams, so it is left out.</t>
  </si>
  <si>
    <t xml:space="preserve">Weight basis</t>
  </si>
  <si>
    <t xml:space="preserve">Note</t>
  </si>
  <si>
    <t xml:space="preserve">Reported</t>
  </si>
  <si>
    <t xml:space="preserve">Universite Laval</t>
  </si>
  <si>
    <t xml:space="preserve">Centro Universitario Da FEI</t>
  </si>
  <si>
    <t xml:space="preserve">Dalhousie Univ</t>
  </si>
  <si>
    <t xml:space="preserve">Univ of Missouri</t>
  </si>
  <si>
    <t xml:space="preserve">Univ of North Carolina - Asheville</t>
  </si>
  <si>
    <t xml:space="preserve">Olin College of Engineering</t>
  </si>
  <si>
    <t xml:space="preserve">Univ of Ontario Institute of Tech</t>
  </si>
  <si>
    <t xml:space="preserve">Univ of Guelph</t>
  </si>
  <si>
    <t xml:space="preserve">Texas A &amp; M Univ - College Station</t>
  </si>
  <si>
    <t xml:space="preserve">Illinois Inst of Tech</t>
  </si>
  <si>
    <t xml:space="preserve">Dartmouth College</t>
  </si>
  <si>
    <t xml:space="preserve">Excl. battery pack (SAE footnote)</t>
  </si>
  <si>
    <t xml:space="preserve">Missing</t>
  </si>
  <si>
    <t xml:space="preserve">FORMULA HYBRID + ELECTRIC  |  ELECTRIC CLASS</t>
  </si>
  <si>
    <t xml:space="preserve">A separate competition with its own scoring. Do not compare its points with FSAE Michigan.</t>
  </si>
  <si>
    <t xml:space="preserve">2026 ELECTRIC CLASS PODIUM (organizer results, confirmed on the Dartmouth recap)</t>
  </si>
  <si>
    <t xml:space="preserve">Class finish</t>
  </si>
  <si>
    <t xml:space="preserve">Acceleration</t>
  </si>
  <si>
    <t xml:space="preserve">[SCHOOL]</t>
  </si>
  <si>
    <t xml:space="preserve">1st</t>
  </si>
  <si>
    <t xml:space="preserve">2nd</t>
  </si>
  <si>
    <t xml:space="preserve">University of Akron</t>
  </si>
  <si>
    <t xml:space="preserve">3rd</t>
  </si>
  <si>
    <t xml:space="preserve">University of Calgary</t>
  </si>
  <si>
    <t xml:space="preserve">[SCHOOL] HISTORY (as listed on the [SCHOOL] team site)</t>
  </si>
  <si>
    <t xml:space="preserve">Overall (electric)</t>
  </si>
  <si>
    <t xml:space="preserve">Project mgmt</t>
  </si>
  <si>
    <t xml:space="preserve">1st (record)</t>
  </si>
  <si>
    <t xml:space="preserve">4th</t>
  </si>
  <si>
    <t xml:space="preserve">not listed</t>
  </si>
  <si>
    <t xml:space="preserve">8th</t>
  </si>
  <si>
    <t xml:space="preserve">1st per [SCHOOL] site*</t>
  </si>
  <si>
    <t xml:space="preserve">*The organizer awards list (formula-hybrid.org announcements) shows MIT as 1st in the 2026 Project Management event, Northeastern 2nd and Akron 3rd, while the [SCHOOL] site lists [SCHOOL] 1st. This is unresolved; treat the 2026 project management placing as unverified. [SCHOOL] also received the IEEE Excellence in EV Engineering award. 2026 organizer event podiums confirm [SCHOOL] 1st in acceleration and endurance, 2nd in autocross and design. Formula Hybrid 2022 details beyond overall and project management were not listed on the [SCHOOL] site.</t>
  </si>
  <si>
    <t xml:space="preserve">RESULTS DATA  |  FSAE ELECTRIC (MICHIGAN) 2022-2026</t>
  </si>
  <si>
    <t xml:space="preserve">Every team-year row used in this workbook. 2022-2025 as supplied in the original workbook. 2026 copied from the official SAE results PDF. Columns Q and R are live formulas.</t>
  </si>
  <si>
    <t xml:space="preserve">Status</t>
  </si>
  <si>
    <t xml:space="preserve">Ranked? (1/0)</t>
  </si>
  <si>
    <t xml:space="preserve">[SCHOOL]? (1/0)</t>
  </si>
  <si>
    <t xml:space="preserve">Source</t>
  </si>
  <si>
    <t xml:space="preserve">Ranked</t>
  </si>
  <si>
    <t xml:space="preserve">Original uploaded workbook</t>
  </si>
  <si>
    <t xml:space="preserve">Ryerson Univ</t>
  </si>
  <si>
    <t xml:space="preserve">Portland State Univ</t>
  </si>
  <si>
    <t xml:space="preserve">Univ of Colorado - Colorado Springs</t>
  </si>
  <si>
    <t xml:space="preserve">pres only</t>
  </si>
  <si>
    <t xml:space="preserve">Cooper Union</t>
  </si>
  <si>
    <t xml:space="preserve">Rochester Institute of Technology Dubai</t>
  </si>
  <si>
    <t xml:space="preserve">Univ of Utah</t>
  </si>
  <si>
    <t xml:space="preserve">withdrawn</t>
  </si>
  <si>
    <t xml:space="preserve">Universidad Nacional Autónoma de México</t>
  </si>
  <si>
    <t xml:space="preserve">Lawrence Technological Univ</t>
  </si>
  <si>
    <t xml:space="preserve">Original uploaded workbook. Accel (2 pts) unverified: FS World shows about 4 and the total only adds up if accel is higher.</t>
  </si>
  <si>
    <t xml:space="preserve">Original uploaded workbook. UNVERIFIED: not on the FS World 2024 electric list (69 teams). Event points do not add up to the total.</t>
  </si>
  <si>
    <t xml:space="preserve">Washington State University Vancouver Tech</t>
  </si>
  <si>
    <t xml:space="preserve">Active</t>
  </si>
  <si>
    <t xml:space="preserve">Univ of North Dakota</t>
  </si>
  <si>
    <t xml:space="preserve">Central Michigan Univ</t>
  </si>
  <si>
    <t xml:space="preserve">Rose Hulman Inst of Tech</t>
  </si>
  <si>
    <t xml:space="preserve">Saint Louis Univ</t>
  </si>
  <si>
    <t xml:space="preserve">Universite de Sherbrooke</t>
  </si>
  <si>
    <t xml:space="preserve">Virginia Commonwealth Univ</t>
  </si>
  <si>
    <t xml:space="preserve">SAE 2026 official results PDF</t>
  </si>
  <si>
    <t xml:space="preserve">Presentation only</t>
  </si>
  <si>
    <t xml:space="preserve">DATA QUALITY  |  CHECKS, EXCEPTIONS AND OPEN ISSUES</t>
  </si>
  <si>
    <t xml:space="preserve">Event points plus penalty are re-added for every ranked team and compared with the reported total. Differences above 1 point are listed.</t>
  </si>
  <si>
    <t xml:space="preserve">VALIDATION SUMMARY (ranked field)</t>
  </si>
  <si>
    <t xml:space="preserve">Winner pts</t>
  </si>
  <si>
    <t xml:space="preserve">Rows with a &gt;1 pt difference</t>
  </si>
  <si>
    <t xml:space="preserve">Largest diff (abs)</t>
  </si>
  <si>
    <t xml:space="preserve">ROWS WHERE EVENT POINTS + PENALTY DO NOT MATCH THE REPORTED TOTAL (difference above 1.0)</t>
  </si>
  <si>
    <t xml:space="preserve">Reported total</t>
  </si>
  <si>
    <t xml:space="preserve">Difference</t>
  </si>
  <si>
    <t xml:space="preserve">UNC Charlotte (unverified)</t>
  </si>
  <si>
    <t xml:space="preserve">Univ of Washington (accel unverified)</t>
  </si>
  <si>
    <t xml:space="preserve">After the October 2026 check, three differences above 1 point remain: UNC Charlotte 2024 (unverified entry), Washington 2024 (accel unverified) and California Institute of Technology 2026 (SAE prints a total that does not equal its parts; the printed total is kept). The other rows listed here earlier were stray event numbers and are now blank.</t>
  </si>
  <si>
    <t xml:space="preserve">OPEN ISSUES AND CAVEATS</t>
  </si>
  <si>
    <t xml:space="preserve">2022 event data</t>
  </si>
  <si>
    <t xml:space="preserve">Only 5-11 teams have accel, skid pad, autocross, efficiency or endurance scores in the source, so 2022 event ranks and event averages are not comparable with later years. Totals and places are fine.</t>
  </si>
  <si>
    <t xml:space="preserve">2022-2025 raw data</t>
  </si>
  <si>
    <t xml:space="preserve">2022 and 2025 places and totals match the official SAE results PDFs for every ranked team. 2023 and 2024 places and totals match FS World (third party, whole-number scores) because the official electric PDFs could not be reached. Stray event cells were blanked (see corrections below).</t>
  </si>
  <si>
    <t xml:space="preserve">2025 field size</t>
  </si>
  <si>
    <t xml:space="preserve">The original workbook listed 80 active teams; 78 have a numeric overall place. The 78 are used. The old Dashboard said "#13 / 80" and used an 80-team average of 273.4 pts; the correct 78-team average is 279.9.</t>
  </si>
  <si>
    <t xml:space="preserve">2026 field size</t>
  </si>
  <si>
    <t xml:space="preserve">88 ranked finishers plus 20 presentation-only entries (not ranked, not in the field averages).</t>
  </si>
  <si>
    <t xml:space="preserve">2026 scores</t>
  </si>
  <si>
    <t xml:space="preserve">All 88 ranked rows were compared with the SAE official results PDF (place, car number, every event score, penalty, total). 0 mismatches.</t>
  </si>
  <si>
    <t xml:space="preserve">2026 presentation rank</t>
  </si>
  <si>
    <t xml:space="preserve">SAE PDF lists [SCHOOL] 46th in presentation (30.2 pts). The [SCHOOL] site lists 37th. The PDF is used.</t>
  </si>
  <si>
    <t xml:space="preserve">2026 skid pad rank</t>
  </si>
  <si>
    <t xml:space="preserve">Scores give [SCHOOL] 8th (55.0 pts). The [SCHOOL] site lists 7th. Scores are used.</t>
  </si>
  <si>
    <t xml:space="preserve">2026 specs</t>
  </si>
  <si>
    <t xml:space="preserve">Team information in the SAE PDF is marked "For Information Only, Not Validated". Three teams (Caltech, Saint Louis, Santa Clara) report weight without the battery pack and are excluded from weight analysis.</t>
  </si>
  <si>
    <t xml:space="preserve">2023-2025 specs</t>
  </si>
  <si>
    <t xml:space="preserve">2025 specs match the official SAE PDF (74 of 74 rows). 2023 and 2024 car numbers match the official tech order lists. 2023 and 2024 motors, voltage and weight could not be checked against any official source.</t>
  </si>
  <si>
    <t xml:space="preserve">Formula Hybrid</t>
  </si>
  <si>
    <t xml:space="preserve">2026 podium confirmed by organizer and Dartmouth. [SCHOOL] 2026 project management placing conflicts between sources (see Formula Hybrid sheet).</t>
  </si>
  <si>
    <t xml:space="preserve">CORRECTIONS MADE EARLIER IN THE WORKBOOK AUDIT</t>
  </si>
  <si>
    <t xml:space="preserve">- ETS won 2023 with 919.1 pts (best score in the dataset); the tracker had shown a blank.</t>
  </si>
  <si>
    <t xml:space="preserve">- Blank 2023 entries for Universite Laval (#14, 408.4) and Texas A&amp;M (#44, 147.7) were filled.</t>
  </si>
  <si>
    <t xml:space="preserve">- 37 teams with real 2025 results had been left blank, and 6 rows carried scores copied from other teams (UC campuses had UC Santa Cruz scores). Replaced with true results.</t>
  </si>
  <si>
    <t xml:space="preserve">- The 2022 top-10 averages were wrong (for example average total 690.3 should have been 533.6).</t>
  </si>
  <si>
    <t xml:space="preserve">- The note calling [SCHOOL]'s 264 kg 2024 car the heaviest was wrong: it was tied 5th-heaviest with 2 other cars (max 297.4 kg).</t>
  </si>
  <si>
    <t xml:space="preserve">- Oct 2026 check: blanked 16 stray event cells in 2022-2025 that were not real scores (mostly 2024: Concordia, UT Arlington, Northeastern, Texas A&amp;M). Team totals were already right.</t>
  </si>
  <si>
    <t xml:space="preserve">- Event ranks, team counts and field averages for 2022-2025 were recalculated after the blanking. [SCHOOL] event ranks did not change.</t>
  </si>
  <si>
    <t xml:space="preserve">- UNC Charlotte 2024 (70th, 30 pts) is not on the FS World 69-team list. Kept and flagged. If it does not belong, the 2024 field is 69 teams.</t>
  </si>
  <si>
    <t xml:space="preserve">- Univ of Washington 2024: accel shows 2 pts, FS World shows about 4. Left as is and flagged.</t>
  </si>
  <si>
    <t xml:space="preserve">SOURCES, DEFINITIONS AND METHOD</t>
  </si>
  <si>
    <t xml:space="preserve">Where each number comes from and how derived values are calculated.</t>
  </si>
  <si>
    <t xml:space="preserve">SOURCES</t>
  </si>
  <si>
    <t xml:space="preserve">ID</t>
  </si>
  <si>
    <t xml:space="preserve">Dataset</t>
  </si>
  <si>
    <t xml:space="preserve">Used for</t>
  </si>
  <si>
    <t xml:space="preserve">Link</t>
  </si>
  <si>
    <t xml:space="preserve">S1</t>
  </si>
  <si>
    <t xml:space="preserve">SAE Formula SAE Electric 2026 official results PDF</t>
  </si>
  <si>
    <t xml:space="preserve">2026 overall results, event scores, team information</t>
  </si>
  <si>
    <t xml:space="preserve">Official, checked here</t>
  </si>
  <si>
    <t xml:space="preserve">https://www.fsaeonline.com/CompResources/2026/07af50d8-cbb6-4b9b-aaf8-5ff6a7e44057/FSAE_2026_MI6_results.pdf</t>
  </si>
  <si>
    <t xml:space="preserve">S2</t>
  </si>
  <si>
    <t xml:space="preserve">Formula Hybrid+Electric announcements</t>
  </si>
  <si>
    <t xml:space="preserve">2026 electric class and event awards</t>
  </si>
  <si>
    <t xml:space="preserve">https://www.formula-hybrid.org/announcements?8005cc4f_page=1</t>
  </si>
  <si>
    <t xml:space="preserve">S3</t>
  </si>
  <si>
    <t xml:space="preserve">Dartmouth FH+E 2026 recap</t>
  </si>
  <si>
    <t xml:space="preserve">Electric class podium confirmation</t>
  </si>
  <si>
    <t xml:space="preserve">Event host, checked here</t>
  </si>
  <si>
    <t xml:space="preserve">https://engineering.dartmouth.edu/news/results-and-recap-formula-hybrid-electric-competition-2026</t>
  </si>
  <si>
    <t xml:space="preserve">S4</t>
  </si>
  <si>
    <t xml:space="preserve">[SCHOOL] cars page</t>
  </si>
  <si>
    <t xml:space="preserve">Event placings by year, Formula Hybrid history</t>
  </si>
  <si>
    <t xml:space="preserve">Team site, checked here</t>
  </si>
  <si>
    <t xml:space="preserve">[SCHOOL team website, URL removed]</t>
  </si>
  <si>
    <t xml:space="preserve">S5</t>
  </si>
  <si>
    <t xml:space="preserve">Original uploaded workbook (Racing_Analysis_2022-2025_(original).xlsx)</t>
  </si>
  <si>
    <t xml:space="preserve">2022-2025 scores, 2023-2025 specs</t>
  </si>
  <si>
    <t xml:space="preserve">Places and totals checked Oct 2026 (see below). 2023-24 specs not verified</t>
  </si>
  <si>
    <t xml:space="preserve">(user-provided file)</t>
  </si>
  <si>
    <t xml:space="preserve">DEFINITIONS</t>
  </si>
  <si>
    <t xml:space="preserve">Ranked field</t>
  </si>
  <si>
    <t xml:space="preserve">Teams with a numeric overall place. Presentation-only, withdrawn and unranked entries are excluded from field statistics.</t>
  </si>
  <si>
    <t xml:space="preserve">[SCHOOL] total minus the winner total (negative = behind).</t>
  </si>
  <si>
    <t xml:space="preserve">Field average / median</t>
  </si>
  <si>
    <t xml:space="preserve">Mean / median of totals across the ranked field.</t>
  </si>
  <si>
    <t xml:space="preserve">1 - (place - 1) / (ranked teams - 1). First place = 100%.</t>
  </si>
  <si>
    <t xml:space="preserve">Event rank</t>
  </si>
  <si>
    <t xml:space="preserve">1 + number of teams with a higher score, among teams that scored above 0 in that event.</t>
  </si>
  <si>
    <t xml:space="preserve">Event % of max</t>
  </si>
  <si>
    <t xml:space="preserve">[SCHOOL] event score divided by the event maximum (Cost 100, Presentation 75, Design 150, Accel 100, Skid Pad 75, Autocross 125, Endurance 275, Efficiency 100).</t>
  </si>
  <si>
    <t xml:space="preserve">Correlation (r)</t>
  </si>
  <si>
    <t xml:space="preserve">Pearson correlation of a spec with total score, ranked teams with that spec reported. Descriptive, not causal.</t>
  </si>
  <si>
    <t xml:space="preserve">Live formulas</t>
  </si>
  <si>
    <t xml:space="preserve">Results Data columns Q-R, School Trend, Dashboard, Field Overview (counts, winner, average), 2026 Results column N-O and Competitors changes are formulas. Median, spread, event ranks and correlations are computed values.</t>
  </si>
  <si>
    <t xml:space="preserve">SOURCES FOR THE 2022-2025 CHECK (October 2026)</t>
  </si>
  <si>
    <t xml:space="preserve">S6  SAE 2022 electric results</t>
  </si>
  <si>
    <t xml:space="preserve">https://www.fsaeonline.com/CompResources/2022/1eed5fd6-ae07-4aac-a9e2-58358188140d/FSAE_MI6_E_2022_results.pdf  (official; places, totals, event scores all match)</t>
  </si>
  <si>
    <t xml:space="preserve">S7  SAE 2025 electric results</t>
  </si>
  <si>
    <t xml:space="preserve">https://www.fsaeonline.com/CompResources/2025/8f030a58-d9e4-49b8-bc83-6ca16c7ce715/FSAE_2025_MI6_results.pdf  (official; places, totals and 2025 specs match)</t>
  </si>
  <si>
    <t xml:space="preserve">S8  FS World 2023 and 2024</t>
  </si>
  <si>
    <t xml:space="preserve">https://www.fs-world.org/competition/1/event/265 (2023)  https://www.fs-world.org/competition/1/event/288 (2024). Third party, whole-number scores. Used because the official electric PDFs for these years were not reachable.</t>
  </si>
  <si>
    <t xml:space="preserve">S9  SAE tech order lists</t>
  </si>
  <si>
    <t xml:space="preserve">2023: https://www.fsaeonline.com/CompResources/2023/a89b3a7c-e884-4f11-b8e1-0e8560786a3d/FSAE-EV-Tech-Order-Number.pdf  2024: https://www.fsaeonline.com/CompResources/2024/5e3f6a49-acf7-4c30-85b4-f2a1434e1e2e/Tech-Number.pdf  (car numbers for 2023-2024 specs match)</t>
  </si>
  <si>
    <t xml:space="preserve">Not verified</t>
  </si>
  <si>
    <t xml:space="preserve">2023 and 2024 motors, voltage and weight (127 rows, including [SCHOOL]) and 2022 per-event detail. Source of those specs is the original uploaded workbook.</t>
  </si>
</sst>
</file>

<file path=xl/styles.xml><?xml version="1.0" encoding="utf-8"?>
<styleSheet xmlns="http://schemas.openxmlformats.org/spreadsheetml/2006/main">
  <numFmts count="13">
    <numFmt numFmtId="164" formatCode="General"/>
    <numFmt numFmtId="165" formatCode="General"/>
    <numFmt numFmtId="166" formatCode="0.0&quot; pts&quot;"/>
    <numFmt numFmtId="167" formatCode="\+0.0&quot; pts&quot;;\-0.0&quot; pts&quot;"/>
    <numFmt numFmtId="168" formatCode="\#0"/>
    <numFmt numFmtId="169" formatCode="0"/>
    <numFmt numFmtId="170" formatCode="0.0"/>
    <numFmt numFmtId="171" formatCode="\+0.0;[RED]\-0.0"/>
    <numFmt numFmtId="172" formatCode="\+0.0;\-0.0"/>
    <numFmt numFmtId="173" formatCode="0%"/>
    <numFmt numFmtId="174" formatCode="0.0%"/>
    <numFmt numFmtId="175" formatCode="0.0;[RED]\-0.0"/>
    <numFmt numFmtId="176" formatCode="0.00"/>
  </numFmts>
  <fonts count="20">
    <font>
      <sz val="11"/>
      <color rgb="FF000000"/>
      <name val="Calibri"/>
      <family val="2"/>
      <charset val="1"/>
    </font>
    <font>
      <sz val="10"/>
      <name val="Arial"/>
      <family val="0"/>
    </font>
    <font>
      <sz val="10"/>
      <name val="Arial"/>
      <family val="0"/>
    </font>
    <font>
      <sz val="10"/>
      <name val="Arial"/>
      <family val="0"/>
    </font>
    <font>
      <b val="true"/>
      <sz val="18"/>
      <color rgb="FFFFFFFF"/>
      <name val="Calibri"/>
      <family val="0"/>
      <charset val="1"/>
    </font>
    <font>
      <i val="true"/>
      <sz val="10"/>
      <color rgb="FFFFFFFF"/>
      <name val="Calibri"/>
      <family val="0"/>
      <charset val="1"/>
    </font>
    <font>
      <b val="true"/>
      <sz val="9"/>
      <color rgb="FFFFFFFF"/>
      <name val="Calibri"/>
      <family val="0"/>
      <charset val="1"/>
    </font>
    <font>
      <b val="true"/>
      <sz val="20"/>
      <color rgb="FFC8102E"/>
      <name val="Calibri"/>
      <family val="0"/>
      <charset val="1"/>
    </font>
    <font>
      <b val="true"/>
      <sz val="11"/>
      <color rgb="FFFFFFFF"/>
      <name val="Calibri"/>
      <family val="0"/>
      <charset val="1"/>
    </font>
    <font>
      <b val="true"/>
      <sz val="10"/>
      <color rgb="FFFFFFFF"/>
      <name val="Calibri"/>
      <family val="0"/>
      <charset val="1"/>
    </font>
    <font>
      <b val="true"/>
      <sz val="10"/>
      <color rgb="FF111827"/>
      <name val="Calibri"/>
      <family val="0"/>
      <charset val="1"/>
    </font>
    <font>
      <sz val="10"/>
      <color rgb="FF111827"/>
      <name val="Calibri"/>
      <family val="0"/>
      <charset val="1"/>
    </font>
    <font>
      <sz val="10"/>
      <color rgb="FF374151"/>
      <name val="Calibri"/>
      <family val="0"/>
      <charset val="1"/>
    </font>
    <font>
      <i val="true"/>
      <sz val="9"/>
      <color rgb="FF6B7280"/>
      <name val="Calibri"/>
      <family val="0"/>
      <charset val="1"/>
    </font>
    <font>
      <b val="true"/>
      <sz val="18"/>
      <color rgb="FF000000"/>
      <name val="Calibri"/>
      <family val="2"/>
    </font>
    <font>
      <sz val="10"/>
      <color rgb="FF000000"/>
      <name val="Calibri"/>
      <family val="2"/>
    </font>
    <font>
      <b val="true"/>
      <sz val="10"/>
      <color rgb="FF000000"/>
      <name val="Calibri"/>
      <family val="2"/>
    </font>
    <font>
      <i val="true"/>
      <sz val="10"/>
      <color rgb="FF374151"/>
      <name val="Calibri"/>
      <family val="0"/>
      <charset val="1"/>
    </font>
    <font>
      <b val="true"/>
      <sz val="9"/>
      <color rgb="FF6B7280"/>
      <name val="Calibri"/>
      <family val="0"/>
      <charset val="1"/>
    </font>
    <font>
      <sz val="10"/>
      <name val="Calibri"/>
      <family val="0"/>
      <charset val="1"/>
    </font>
  </fonts>
  <fills count="6">
    <fill>
      <patternFill patternType="none"/>
    </fill>
    <fill>
      <patternFill patternType="gray125"/>
    </fill>
    <fill>
      <patternFill patternType="solid">
        <fgColor rgb="FF14213D"/>
        <bgColor rgb="FF111827"/>
      </patternFill>
    </fill>
    <fill>
      <patternFill patternType="solid">
        <fgColor rgb="FFC8102E"/>
        <bgColor rgb="FF993366"/>
      </patternFill>
    </fill>
    <fill>
      <patternFill patternType="solid">
        <fgColor rgb="FFF3F5F9"/>
        <bgColor rgb="FFFFFFFF"/>
      </patternFill>
    </fill>
    <fill>
      <patternFill patternType="solid">
        <fgColor rgb="FFFDE8EB"/>
        <bgColor rgb="FFF3F5F9"/>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true" indent="1"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5" fontId="7" fillId="4" borderId="0" xfId="0" applyFont="true" applyBorder="true" applyAlignment="true" applyProtection="false">
      <alignment horizontal="center" vertical="center" textRotation="0" wrapText="false" indent="0" shrinkToFit="false"/>
      <protection locked="true" hidden="false"/>
    </xf>
    <xf numFmtId="166" fontId="7" fillId="4" borderId="0" xfId="0" applyFont="true" applyBorder="true" applyAlignment="true" applyProtection="false">
      <alignment horizontal="center" vertical="center" textRotation="0" wrapText="false" indent="0" shrinkToFit="false"/>
      <protection locked="true" hidden="false"/>
    </xf>
    <xf numFmtId="167" fontId="7" fillId="4"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70" fontId="11" fillId="0" borderId="1" xfId="0" applyFont="true" applyBorder="true" applyAlignment="true" applyProtection="false">
      <alignment horizontal="center" vertical="center" textRotation="0" wrapText="false" indent="0" shrinkToFit="false"/>
      <protection locked="true" hidden="false"/>
    </xf>
    <xf numFmtId="171" fontId="11" fillId="0" borderId="1" xfId="0" applyFont="true" applyBorder="true" applyAlignment="true" applyProtection="false">
      <alignment horizontal="center" vertical="center" textRotation="0" wrapText="false" indent="0" shrinkToFit="false"/>
      <protection locked="true" hidden="false"/>
    </xf>
    <xf numFmtId="172" fontId="11" fillId="0" borderId="1" xfId="0" applyFont="true" applyBorder="true" applyAlignment="true" applyProtection="false">
      <alignment horizontal="center" vertical="center" textRotation="0" wrapText="false" indent="0" shrinkToFit="false"/>
      <protection locked="true" hidden="false"/>
    </xf>
    <xf numFmtId="173" fontId="11" fillId="0"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8" fontId="11" fillId="5" borderId="1" xfId="0" applyFont="true" applyBorder="true" applyAlignment="true" applyProtection="false">
      <alignment horizontal="center" vertical="center" textRotation="0" wrapText="false" indent="0" shrinkToFit="false"/>
      <protection locked="true" hidden="false"/>
    </xf>
    <xf numFmtId="169" fontId="11" fillId="5" borderId="1" xfId="0" applyFont="true" applyBorder="true" applyAlignment="true" applyProtection="false">
      <alignment horizontal="center" vertical="center" textRotation="0" wrapText="false" indent="0" shrinkToFit="false"/>
      <protection locked="true" hidden="false"/>
    </xf>
    <xf numFmtId="170" fontId="11" fillId="5" borderId="1" xfId="0" applyFont="true" applyBorder="true" applyAlignment="true" applyProtection="false">
      <alignment horizontal="center" vertical="center" textRotation="0" wrapText="false" indent="0" shrinkToFit="false"/>
      <protection locked="true" hidden="false"/>
    </xf>
    <xf numFmtId="171" fontId="11" fillId="5" borderId="1" xfId="0" applyFont="true" applyBorder="true" applyAlignment="true" applyProtection="false">
      <alignment horizontal="center" vertical="center" textRotation="0" wrapText="false" indent="0" shrinkToFit="false"/>
      <protection locked="true" hidden="false"/>
    </xf>
    <xf numFmtId="172" fontId="11" fillId="5" borderId="1" xfId="0" applyFont="true" applyBorder="true" applyAlignment="true" applyProtection="false">
      <alignment horizontal="center" vertical="center" textRotation="0" wrapText="false" indent="0" shrinkToFit="false"/>
      <protection locked="true" hidden="false"/>
    </xf>
    <xf numFmtId="173" fontId="11" fillId="5" borderId="1"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general" vertical="top" textRotation="0" wrapText="true" indent="1" shrinkToFit="false"/>
      <protection locked="true" hidden="false"/>
    </xf>
    <xf numFmtId="164" fontId="12" fillId="0" borderId="0" xfId="0" applyFont="true" applyBorder="true" applyAlignment="true" applyProtection="false">
      <alignment horizontal="general" vertical="top" textRotation="0" wrapText="true" indent="1" shrinkToFit="false"/>
      <protection locked="true" hidden="false"/>
    </xf>
    <xf numFmtId="164" fontId="13" fillId="0" borderId="0" xfId="0" applyFont="true" applyBorder="true" applyAlignment="true" applyProtection="false">
      <alignment horizontal="general" vertical="bottom" textRotation="0" wrapText="true" indent="0" shrinkToFit="false"/>
      <protection locked="true" hidden="false"/>
    </xf>
    <xf numFmtId="17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1"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70" fontId="10" fillId="5" borderId="1" xfId="0" applyFont="true" applyBorder="true" applyAlignment="true" applyProtection="false">
      <alignment horizontal="center" vertical="center" textRotation="0" wrapText="false" indent="0" shrinkToFit="false"/>
      <protection locked="true" hidden="false"/>
    </xf>
    <xf numFmtId="175" fontId="11" fillId="0" borderId="1" xfId="0" applyFont="true" applyBorder="true" applyAlignment="true" applyProtection="false">
      <alignment horizontal="center" vertical="center" textRotation="0" wrapText="false" indent="0" shrinkToFit="false"/>
      <protection locked="true" hidden="false"/>
    </xf>
    <xf numFmtId="175" fontId="11" fillId="5"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76" fontId="11" fillId="0" borderId="1" xfId="0" applyFont="true" applyBorder="true" applyAlignment="true" applyProtection="false">
      <alignment horizontal="center" vertical="center" textRotation="0" wrapText="false" indent="0" shrinkToFit="false"/>
      <protection locked="true" hidden="false"/>
    </xf>
    <xf numFmtId="176" fontId="10" fillId="0"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FC7CE"/>
        </patternFill>
      </fill>
    </dxf>
    <dxf>
      <font>
        <b val="1"/>
        <color rgb="FF2E7D32"/>
      </font>
    </dxf>
    <dxf>
      <font>
        <b val="1"/>
        <color rgb="FFC8102E"/>
      </font>
    </dxf>
    <dxf>
      <fill>
        <patternFill patternType="solid">
          <fgColor rgb="FFC8102E"/>
        </patternFill>
      </fill>
    </dxf>
    <dxf>
      <fill>
        <patternFill patternType="solid">
          <fgColor rgb="FFFDE8EB"/>
        </patternFill>
      </fill>
    </dxf>
    <dxf>
      <fill>
        <patternFill patternType="solid">
          <fgColor rgb="00FFFFFF"/>
        </patternFill>
      </fill>
    </dxf>
    <dxf>
      <fill>
        <patternFill patternType="solid">
          <fgColor rgb="FF111827"/>
        </patternFill>
      </fill>
    </dxf>
    <dxf>
      <fill>
        <patternFill patternType="solid">
          <fgColor rgb="FFFFFFFF"/>
        </patternFill>
      </fill>
    </dxf>
  </dxfs>
  <colors>
    <indexedColors>
      <rgbColor rgb="FF000000"/>
      <rgbColor rgb="FFFFFFFF"/>
      <rgbColor rgb="FFC8102E"/>
      <rgbColor rgb="FF00FF00"/>
      <rgbColor rgb="FF0000FF"/>
      <rgbColor rgb="FFFFFF00"/>
      <rgbColor rgb="FFFF00FF"/>
      <rgbColor rgb="FF00FFFF"/>
      <rgbColor rgb="FF800000"/>
      <rgbColor rgb="FF008000"/>
      <rgbColor rgb="FF000080"/>
      <rgbColor rgb="FF808000"/>
      <rgbColor rgb="FF800080"/>
      <rgbColor rgb="FF17A2B8"/>
      <rgbColor rgb="FFD9D9D9"/>
      <rgbColor rgb="FF878787"/>
      <rgbColor rgb="FF9999FF"/>
      <rgbColor rgb="FF8E44AD"/>
      <rgbColor rgb="FFF3F5F9"/>
      <rgbColor rgb="FFCCFFFF"/>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DE8EB"/>
      <rgbColor rgb="FF99CCFF"/>
      <rgbColor rgb="FFFF99CC"/>
      <rgbColor rgb="FFCC99FF"/>
      <rgbColor rgb="FFFFC7CE"/>
      <rgbColor rgb="FF3366FF"/>
      <rgbColor rgb="FF33CCCC"/>
      <rgbColor rgb="FF99CC00"/>
      <rgbColor rgb="FFF2B705"/>
      <rgbColor rgb="FFFF9900"/>
      <rgbColor rgb="FFE67E22"/>
      <rgbColor rgb="FF6B7280"/>
      <rgbColor rgb="FF9CA3AF"/>
      <rgbColor rgb="FF14213D"/>
      <rgbColor rgb="FF2E7D32"/>
      <rgbColor rgb="FF111827"/>
      <rgbColor rgb="FF333300"/>
      <rgbColor rgb="FFB45309"/>
      <rgbColor rgb="FF993366"/>
      <rgbColor rgb="FF1D4E89"/>
      <rgbColor rgb="FF374151"/>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[SCHOOL] score vs winner vs field average</a:t>
            </a:r>
          </a:p>
        </c:rich>
      </c:tx>
      <c:overlay val="0"/>
      <c:spPr>
        <a:noFill/>
        <a:ln w="0">
          <a:noFill/>
        </a:ln>
      </c:spPr>
    </c:title>
    <c:autoTitleDeleted val="0"/>
    <c:plotArea>
      <c:lineChart>
        <c:grouping val="standard"/>
        <c:varyColors val="0"/>
        <c:ser>
          <c:idx val="0"/>
          <c:order val="0"/>
          <c:tx>
            <c:strRef>
              <c:f>"[SCHOOL]"</c:f>
              <c:strCache>
                <c:ptCount val="1"/>
                <c:pt idx="0">
                  <c:v>[SCHOOL]</c:v>
                </c:pt>
              </c:strCache>
            </c:strRef>
          </c:tx>
          <c:spPr>
            <a:solidFill>
              <a:srgbClr val="c8102e"/>
            </a:solidFill>
            <a:ln w="28080">
              <a:solidFill>
                <a:srgbClr val="c8102e"/>
              </a:solidFill>
              <a:round/>
            </a:ln>
          </c:spPr>
          <c:marker>
            <c:symbol val="circle"/>
            <c:size val="7"/>
            <c:spPr>
              <a:solidFill>
                <a:srgbClr val="c8102e"/>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Trend'!$D$6:$D$10</c:f>
              <c:numCache>
                <c:formatCode>General</c:formatCode>
                <c:ptCount val="5"/>
                <c:pt idx="0">
                  <c:v>646</c:v>
                </c:pt>
                <c:pt idx="1">
                  <c:v>762.4</c:v>
                </c:pt>
                <c:pt idx="2">
                  <c:v>589.9</c:v>
                </c:pt>
                <c:pt idx="3">
                  <c:v>518</c:v>
                </c:pt>
                <c:pt idx="4">
                  <c:v>756.9</c:v>
                </c:pt>
              </c:numCache>
            </c:numRef>
          </c:val>
          <c:smooth val="0"/>
        </c:ser>
        <c:ser>
          <c:idx val="1"/>
          <c:order val="1"/>
          <c:tx>
            <c:strRef>
              <c:f>"Winner"</c:f>
              <c:strCache>
                <c:ptCount val="1"/>
                <c:pt idx="0">
                  <c:v>Winner</c:v>
                </c:pt>
              </c:strCache>
            </c:strRef>
          </c:tx>
          <c:spPr>
            <a:solidFill>
              <a:srgbClr val="14213d"/>
            </a:solidFill>
            <a:ln w="28080">
              <a:solidFill>
                <a:srgbClr val="14213d"/>
              </a:solidFill>
              <a:round/>
            </a:ln>
          </c:spPr>
          <c:marker>
            <c:symbol val="circle"/>
            <c:size val="7"/>
            <c:spPr>
              <a:solidFill>
                <a:srgbClr val="14213d"/>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Trend'!$E$6:$E$10</c:f>
              <c:numCache>
                <c:formatCode>General</c:formatCode>
                <c:ptCount val="5"/>
                <c:pt idx="0">
                  <c:v>847</c:v>
                </c:pt>
                <c:pt idx="1">
                  <c:v>919.1</c:v>
                </c:pt>
                <c:pt idx="2">
                  <c:v>760.6</c:v>
                </c:pt>
                <c:pt idx="3">
                  <c:v>790.4</c:v>
                </c:pt>
                <c:pt idx="4">
                  <c:v>895.5</c:v>
                </c:pt>
              </c:numCache>
            </c:numRef>
          </c:val>
          <c:smooth val="0"/>
        </c:ser>
        <c:ser>
          <c:idx val="2"/>
          <c:order val="2"/>
          <c:tx>
            <c:strRef>
              <c:f>"Field avg"</c:f>
              <c:strCache>
                <c:ptCount val="1"/>
                <c:pt idx="0">
                  <c:v>Field avg</c:v>
                </c:pt>
              </c:strCache>
            </c:strRef>
          </c:tx>
          <c:spPr>
            <a:solidFill>
              <a:srgbClr val="9ca3af"/>
            </a:solidFill>
            <a:ln w="28080">
              <a:solidFill>
                <a:srgbClr val="9ca3af"/>
              </a:solidFill>
              <a:round/>
            </a:ln>
          </c:spPr>
          <c:marker>
            <c:symbol val="circle"/>
            <c:size val="7"/>
            <c:spPr>
              <a:solidFill>
                <a:srgbClr val="9ca3af"/>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Trend'!$F$6:$F$10</c:f>
              <c:numCache>
                <c:formatCode>General</c:formatCode>
                <c:ptCount val="5"/>
                <c:pt idx="0">
                  <c:v>245.246511627907</c:v>
                </c:pt>
                <c:pt idx="1">
                  <c:v>281.086885245902</c:v>
                </c:pt>
                <c:pt idx="2">
                  <c:v>323.397142857143</c:v>
                </c:pt>
                <c:pt idx="3">
                  <c:v>279.869230769231</c:v>
                </c:pt>
                <c:pt idx="4">
                  <c:v>298.657954545455</c:v>
                </c:pt>
              </c:numCache>
            </c:numRef>
          </c:val>
          <c:smooth val="0"/>
        </c:ser>
        <c:hiLowLines>
          <c:spPr>
            <a:ln w="0">
              <a:noFill/>
            </a:ln>
          </c:spPr>
        </c:hiLowLines>
        <c:marker val="1"/>
        <c:axId val="59705515"/>
        <c:axId val="9416338"/>
      </c:lineChart>
      <c:catAx>
        <c:axId val="5970551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16338"/>
        <c:crosses val="autoZero"/>
        <c:auto val="1"/>
        <c:lblAlgn val="ctr"/>
        <c:lblOffset val="100"/>
        <c:noMultiLvlLbl val="0"/>
      </c:catAx>
      <c:valAx>
        <c:axId val="94163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0551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2026: [SCHOOL] vs field average vs best, by event (% of max)</a:t>
            </a:r>
          </a:p>
        </c:rich>
      </c:tx>
      <c:overlay val="0"/>
      <c:spPr>
        <a:noFill/>
        <a:ln w="0">
          <a:noFill/>
        </a:ln>
      </c:spPr>
    </c:title>
    <c:autoTitleDeleted val="0"/>
    <c:plotArea>
      <c:barChart>
        <c:barDir val="col"/>
        <c:grouping val="clustered"/>
        <c:varyColors val="0"/>
        <c:ser>
          <c:idx val="0"/>
          <c:order val="0"/>
          <c:tx>
            <c:strRef>
              <c:f>"[SCHOOL]"</c:f>
              <c:strCache>
                <c:ptCount val="1"/>
                <c:pt idx="0">
                  <c:v>[SCHOOL]</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Dive'!$B$63:$B$70</c:f>
              <c:numCache>
                <c:formatCode>General</c:formatCode>
                <c:ptCount val="8"/>
                <c:pt idx="0">
                  <c:v>0.98</c:v>
                </c:pt>
                <c:pt idx="1">
                  <c:v>0.402666666666667</c:v>
                </c:pt>
                <c:pt idx="2">
                  <c:v>0.953333333333333</c:v>
                </c:pt>
                <c:pt idx="3">
                  <c:v>0.937</c:v>
                </c:pt>
                <c:pt idx="4">
                  <c:v>0.733333333333333</c:v>
                </c:pt>
                <c:pt idx="5">
                  <c:v>0.8752</c:v>
                </c:pt>
                <c:pt idx="6">
                  <c:v>0.677090909090909</c:v>
                </c:pt>
                <c:pt idx="7">
                  <c:v>0.414</c:v>
                </c:pt>
              </c:numCache>
            </c:numRef>
          </c:val>
        </c:ser>
        <c:ser>
          <c:idx val="1"/>
          <c:order val="1"/>
          <c:tx>
            <c:strRef>
              <c:f>"Field avg (scored)"</c:f>
              <c:strCache>
                <c:ptCount val="1"/>
                <c:pt idx="0">
                  <c:v>Field avg (scored)</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Dive'!$C$63:$C$70</c:f>
              <c:numCache>
                <c:formatCode>General</c:formatCode>
                <c:ptCount val="8"/>
                <c:pt idx="0">
                  <c:v>0.683988235294118</c:v>
                </c:pt>
                <c:pt idx="1">
                  <c:v>0.417234567901234</c:v>
                </c:pt>
                <c:pt idx="2">
                  <c:v>0.557471264367816</c:v>
                </c:pt>
                <c:pt idx="3">
                  <c:v>0.523764705882353</c:v>
                </c:pt>
                <c:pt idx="4">
                  <c:v>0.495578947368421</c:v>
                </c:pt>
                <c:pt idx="5">
                  <c:v>0.639576470588235</c:v>
                </c:pt>
                <c:pt idx="6">
                  <c:v>0.308027972027972</c:v>
                </c:pt>
                <c:pt idx="7">
                  <c:v>0.50955</c:v>
                </c:pt>
              </c:numCache>
            </c:numRef>
          </c:val>
        </c:ser>
        <c:ser>
          <c:idx val="2"/>
          <c:order val="2"/>
          <c:tx>
            <c:strRef>
              <c:f>"Field best"</c:f>
              <c:strCache>
                <c:ptCount val="1"/>
                <c:pt idx="0">
                  <c:v>Field best</c:v>
                </c:pt>
              </c:strCache>
            </c:strRef>
          </c:tx>
          <c:spPr>
            <a:solidFill>
              <a:srgbClr val="14213d"/>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Dive'!$D$63:$D$70</c:f>
              <c:numCache>
                <c:formatCode>General</c:formatCode>
                <c:ptCount val="8"/>
                <c:pt idx="0">
                  <c:v>0.98</c:v>
                </c:pt>
                <c:pt idx="1">
                  <c:v>1</c:v>
                </c:pt>
                <c:pt idx="2">
                  <c:v>1</c:v>
                </c:pt>
                <c:pt idx="3">
                  <c:v>1</c:v>
                </c:pt>
                <c:pt idx="4">
                  <c:v>1</c:v>
                </c:pt>
                <c:pt idx="5">
                  <c:v>1</c:v>
                </c:pt>
                <c:pt idx="6">
                  <c:v>1</c:v>
                </c:pt>
                <c:pt idx="7">
                  <c:v>1</c:v>
                </c:pt>
              </c:numCache>
            </c:numRef>
          </c:val>
        </c:ser>
        <c:gapWidth val="150"/>
        <c:overlap val="0"/>
        <c:axId val="8979208"/>
        <c:axId val="39641585"/>
      </c:barChart>
      <c:catAx>
        <c:axId val="897920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641585"/>
        <c:crosses val="autoZero"/>
        <c:auto val="1"/>
        <c:lblAlgn val="ctr"/>
        <c:lblOffset val="100"/>
        <c:noMultiLvlLbl val="0"/>
      </c:catAx>
      <c:valAx>
        <c:axId val="39641585"/>
        <c:scaling>
          <c:orientation val="minMax"/>
          <c:max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max</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92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[SCHOOL] score vs winner vs field average</a:t>
            </a:r>
          </a:p>
        </c:rich>
      </c:tx>
      <c:overlay val="0"/>
      <c:spPr>
        <a:noFill/>
        <a:ln w="0">
          <a:noFill/>
        </a:ln>
      </c:spPr>
    </c:title>
    <c:autoTitleDeleted val="0"/>
    <c:plotArea>
      <c:lineChart>
        <c:grouping val="standard"/>
        <c:varyColors val="0"/>
        <c:ser>
          <c:idx val="0"/>
          <c:order val="0"/>
          <c:tx>
            <c:strRef>
              <c:f>"[SCHOOL]"</c:f>
              <c:strCache>
                <c:ptCount val="1"/>
                <c:pt idx="0">
                  <c:v>[SCHOOL]</c:v>
                </c:pt>
              </c:strCache>
            </c:strRef>
          </c:tx>
          <c:spPr>
            <a:solidFill>
              <a:srgbClr val="c8102e"/>
            </a:solidFill>
            <a:ln w="28080">
              <a:solidFill>
                <a:srgbClr val="c8102e"/>
              </a:solidFill>
              <a:round/>
            </a:ln>
          </c:spPr>
          <c:marker>
            <c:symbol val="circle"/>
            <c:size val="7"/>
            <c:spPr>
              <a:solidFill>
                <a:srgbClr val="c8102e"/>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Trend'!$D$6:$D$10</c:f>
              <c:numCache>
                <c:formatCode>General</c:formatCode>
                <c:ptCount val="5"/>
                <c:pt idx="0">
                  <c:v>646</c:v>
                </c:pt>
                <c:pt idx="1">
                  <c:v>762.4</c:v>
                </c:pt>
                <c:pt idx="2">
                  <c:v>589.9</c:v>
                </c:pt>
                <c:pt idx="3">
                  <c:v>518</c:v>
                </c:pt>
                <c:pt idx="4">
                  <c:v>756.9</c:v>
                </c:pt>
              </c:numCache>
            </c:numRef>
          </c:val>
          <c:smooth val="0"/>
        </c:ser>
        <c:ser>
          <c:idx val="1"/>
          <c:order val="1"/>
          <c:tx>
            <c:strRef>
              <c:f>"Winner"</c:f>
              <c:strCache>
                <c:ptCount val="1"/>
                <c:pt idx="0">
                  <c:v>Winner</c:v>
                </c:pt>
              </c:strCache>
            </c:strRef>
          </c:tx>
          <c:spPr>
            <a:solidFill>
              <a:srgbClr val="14213d"/>
            </a:solidFill>
            <a:ln w="28080">
              <a:solidFill>
                <a:srgbClr val="14213d"/>
              </a:solidFill>
              <a:round/>
            </a:ln>
          </c:spPr>
          <c:marker>
            <c:symbol val="circle"/>
            <c:size val="7"/>
            <c:spPr>
              <a:solidFill>
                <a:srgbClr val="14213d"/>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Trend'!$E$6:$E$10</c:f>
              <c:numCache>
                <c:formatCode>General</c:formatCode>
                <c:ptCount val="5"/>
                <c:pt idx="0">
                  <c:v>847</c:v>
                </c:pt>
                <c:pt idx="1">
                  <c:v>919.1</c:v>
                </c:pt>
                <c:pt idx="2">
                  <c:v>760.6</c:v>
                </c:pt>
                <c:pt idx="3">
                  <c:v>790.4</c:v>
                </c:pt>
                <c:pt idx="4">
                  <c:v>895.5</c:v>
                </c:pt>
              </c:numCache>
            </c:numRef>
          </c:val>
          <c:smooth val="0"/>
        </c:ser>
        <c:ser>
          <c:idx val="2"/>
          <c:order val="2"/>
          <c:tx>
            <c:strRef>
              <c:f>"Field avg"</c:f>
              <c:strCache>
                <c:ptCount val="1"/>
                <c:pt idx="0">
                  <c:v>Field avg</c:v>
                </c:pt>
              </c:strCache>
            </c:strRef>
          </c:tx>
          <c:spPr>
            <a:solidFill>
              <a:srgbClr val="9ca3af"/>
            </a:solidFill>
            <a:ln w="28080">
              <a:solidFill>
                <a:srgbClr val="9ca3af"/>
              </a:solidFill>
              <a:round/>
            </a:ln>
          </c:spPr>
          <c:marker>
            <c:symbol val="circle"/>
            <c:size val="7"/>
            <c:spPr>
              <a:solidFill>
                <a:srgbClr val="9ca3af"/>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Trend'!$F$6:$F$10</c:f>
              <c:numCache>
                <c:formatCode>General</c:formatCode>
                <c:ptCount val="5"/>
                <c:pt idx="0">
                  <c:v>245.246511627907</c:v>
                </c:pt>
                <c:pt idx="1">
                  <c:v>281.086885245902</c:v>
                </c:pt>
                <c:pt idx="2">
                  <c:v>323.397142857143</c:v>
                </c:pt>
                <c:pt idx="3">
                  <c:v>279.869230769231</c:v>
                </c:pt>
                <c:pt idx="4">
                  <c:v>298.657954545455</c:v>
                </c:pt>
              </c:numCache>
            </c:numRef>
          </c:val>
          <c:smooth val="0"/>
        </c:ser>
        <c:hiLowLines>
          <c:spPr>
            <a:ln w="0">
              <a:noFill/>
            </a:ln>
          </c:spPr>
        </c:hiLowLines>
        <c:marker val="1"/>
        <c:axId val="580063"/>
        <c:axId val="5566927"/>
      </c:lineChart>
      <c:catAx>
        <c:axId val="58006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66927"/>
        <c:crosses val="autoZero"/>
        <c:auto val="1"/>
        <c:lblAlgn val="ctr"/>
        <c:lblOffset val="100"/>
        <c:noMultiLvlLbl val="0"/>
      </c:catAx>
      <c:valAx>
        <c:axId val="55669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06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[SCHOOL] overall place (lower is better)</a:t>
            </a:r>
          </a:p>
        </c:rich>
      </c:tx>
      <c:overlay val="0"/>
      <c:spPr>
        <a:noFill/>
        <a:ln w="0">
          <a:noFill/>
        </a:ln>
      </c:spPr>
    </c:title>
    <c:autoTitleDeleted val="0"/>
    <c:plotArea>
      <c:barChart>
        <c:barDir val="col"/>
        <c:grouping val="clustered"/>
        <c:varyColors val="0"/>
        <c:ser>
          <c:idx val="0"/>
          <c:order val="0"/>
          <c:tx>
            <c:strRef>
              <c:f>'School Trend'!B5</c:f>
              <c:strCache>
                <c:ptCount val="1"/>
                <c:pt idx="0">
                  <c:v>Place</c:v>
                </c:pt>
              </c:strCache>
            </c:strRef>
          </c:tx>
          <c:spPr>
            <a:solidFill>
              <a:srgbClr val="c8102e"/>
            </a:solidFill>
            <a:ln w="0">
              <a:noFill/>
            </a:ln>
          </c:spPr>
          <c:invertIfNegative val="0"/>
          <c:dLbls>
            <c:numFmt formatCode="General"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'School Trend'!$A$6:$A$10</c:f>
              <c:strCache>
                <c:ptCount val="5"/>
                <c:pt idx="0">
                  <c:v>2022</c:v>
                </c:pt>
                <c:pt idx="1">
                  <c:v>2023</c:v>
                </c:pt>
                <c:pt idx="2">
                  <c:v>2024</c:v>
                </c:pt>
                <c:pt idx="3">
                  <c:v>2025</c:v>
                </c:pt>
                <c:pt idx="4">
                  <c:v>2026</c:v>
                </c:pt>
              </c:strCache>
            </c:strRef>
          </c:cat>
          <c:val>
            <c:numRef>
              <c:f>'School Trend'!$B$6:$B$10</c:f>
              <c:numCache>
                <c:formatCode>General</c:formatCode>
                <c:ptCount val="5"/>
                <c:pt idx="0">
                  <c:v>5</c:v>
                </c:pt>
                <c:pt idx="1">
                  <c:v>2</c:v>
                </c:pt>
                <c:pt idx="2">
                  <c:v>14</c:v>
                </c:pt>
                <c:pt idx="3">
                  <c:v>13</c:v>
                </c:pt>
                <c:pt idx="4">
                  <c:v>4</c:v>
                </c:pt>
              </c:numCache>
            </c:numRef>
          </c:val>
        </c:ser>
        <c:gapWidth val="150"/>
        <c:overlap val="0"/>
        <c:axId val="7967044"/>
        <c:axId val="15751304"/>
      </c:barChart>
      <c:catAx>
        <c:axId val="796704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51304"/>
        <c:crosses val="autoZero"/>
        <c:auto val="1"/>
        <c:lblAlgn val="ctr"/>
        <c:lblOffset val="100"/>
        <c:noMultiLvlLbl val="0"/>
      </c:catAx>
      <c:valAx>
        <c:axId val="15751304"/>
        <c:scaling>
          <c:orientation val="maxMin"/>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Place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6704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[SCHOOL] event score, % of max points</a:t>
            </a:r>
          </a:p>
        </c:rich>
      </c:tx>
      <c:overlay val="0"/>
      <c:spPr>
        <a:noFill/>
        <a:ln w="0">
          <a:noFill/>
        </a:ln>
      </c:spPr>
    </c:title>
    <c:autoTitleDeleted val="0"/>
    <c:plotArea>
      <c:barChart>
        <c:barDir val="col"/>
        <c:grouping val="clustered"/>
        <c:varyColors val="0"/>
        <c:ser>
          <c:idx val="0"/>
          <c:order val="0"/>
          <c:tx>
            <c:strRef>
              <c:f>"2022"</c:f>
              <c:strCache>
                <c:ptCount val="1"/>
                <c:pt idx="0">
                  <c:v>2022</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Trend'!$A$26:$A$33</c:f>
              <c:strCache>
                <c:ptCount val="8"/>
                <c:pt idx="0">
                  <c:v>Cost</c:v>
                </c:pt>
                <c:pt idx="1">
                  <c:v>Presentation</c:v>
                </c:pt>
                <c:pt idx="2">
                  <c:v>Design</c:v>
                </c:pt>
                <c:pt idx="3">
                  <c:v>Accel</c:v>
                </c:pt>
                <c:pt idx="4">
                  <c:v>Skid Pad</c:v>
                </c:pt>
                <c:pt idx="5">
                  <c:v>Autocross</c:v>
                </c:pt>
                <c:pt idx="6">
                  <c:v>Endurance</c:v>
                </c:pt>
                <c:pt idx="7">
                  <c:v>Efficiency</c:v>
                </c:pt>
              </c:strCache>
            </c:strRef>
          </c:cat>
          <c:val>
            <c:numRef>
              <c:f>'School Trend'!$C$26:$C$33</c:f>
              <c:numCache>
                <c:formatCode>General</c:formatCode>
                <c:ptCount val="8"/>
                <c:pt idx="0">
                  <c:v>0.8421</c:v>
                </c:pt>
                <c:pt idx="1">
                  <c:v>0.984</c:v>
                </c:pt>
                <c:pt idx="2">
                  <c:v>0.966666666666667</c:v>
                </c:pt>
                <c:pt idx="3">
                  <c:v>0.9135</c:v>
                </c:pt>
                <c:pt idx="4">
                  <c:v>0.6464</c:v>
                </c:pt>
                <c:pt idx="5">
                  <c:v>0.73736</c:v>
                </c:pt>
                <c:pt idx="6">
                  <c:v>0.0581818181818182</c:v>
                </c:pt>
                <c:pt idx="7">
                  <c:v>0.95</c:v>
                </c:pt>
              </c:numCache>
            </c:numRef>
          </c:val>
        </c:ser>
        <c:ser>
          <c:idx val="1"/>
          <c:order val="1"/>
          <c:tx>
            <c:strRef>
              <c:f>"2023"</c:f>
              <c:strCache>
                <c:ptCount val="1"/>
                <c:pt idx="0">
                  <c:v>2023</c:v>
                </c:pt>
              </c:strCache>
            </c:strRef>
          </c:tx>
          <c:spPr>
            <a:solidFill>
              <a:srgbClr val="f2b705"/>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Trend'!$A$26:$A$33</c:f>
              <c:strCache>
                <c:ptCount val="8"/>
                <c:pt idx="0">
                  <c:v>Cost</c:v>
                </c:pt>
                <c:pt idx="1">
                  <c:v>Presentation</c:v>
                </c:pt>
                <c:pt idx="2">
                  <c:v>Design</c:v>
                </c:pt>
                <c:pt idx="3">
                  <c:v>Accel</c:v>
                </c:pt>
                <c:pt idx="4">
                  <c:v>Skid Pad</c:v>
                </c:pt>
                <c:pt idx="5">
                  <c:v>Autocross</c:v>
                </c:pt>
                <c:pt idx="6">
                  <c:v>Endurance</c:v>
                </c:pt>
                <c:pt idx="7">
                  <c:v>Efficiency</c:v>
                </c:pt>
              </c:strCache>
            </c:strRef>
          </c:cat>
          <c:val>
            <c:numRef>
              <c:f>'School Trend'!$D$26:$D$33</c:f>
              <c:numCache>
                <c:formatCode>General</c:formatCode>
                <c:ptCount val="8"/>
                <c:pt idx="0">
                  <c:v>0.774</c:v>
                </c:pt>
                <c:pt idx="1">
                  <c:v>0.66</c:v>
                </c:pt>
                <c:pt idx="2">
                  <c:v>0.753333333333333</c:v>
                </c:pt>
                <c:pt idx="3">
                  <c:v>0.6629</c:v>
                </c:pt>
                <c:pt idx="4">
                  <c:v>0.629066666666667</c:v>
                </c:pt>
                <c:pt idx="5">
                  <c:v>0.7284</c:v>
                </c:pt>
                <c:pt idx="6">
                  <c:v>0.824</c:v>
                </c:pt>
                <c:pt idx="7">
                  <c:v>0.914</c:v>
                </c:pt>
              </c:numCache>
            </c:numRef>
          </c:val>
        </c:ser>
        <c:ser>
          <c:idx val="2"/>
          <c:order val="2"/>
          <c:tx>
            <c:strRef>
              <c:f>"2024"</c:f>
              <c:strCache>
                <c:ptCount val="1"/>
                <c:pt idx="0">
                  <c:v>2024</c:v>
                </c:pt>
              </c:strCache>
            </c:strRef>
          </c:tx>
          <c:spPr>
            <a:solidFill>
              <a:srgbClr val="6b7280"/>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Trend'!$A$26:$A$33</c:f>
              <c:strCache>
                <c:ptCount val="8"/>
                <c:pt idx="0">
                  <c:v>Cost</c:v>
                </c:pt>
                <c:pt idx="1">
                  <c:v>Presentation</c:v>
                </c:pt>
                <c:pt idx="2">
                  <c:v>Design</c:v>
                </c:pt>
                <c:pt idx="3">
                  <c:v>Accel</c:v>
                </c:pt>
                <c:pt idx="4">
                  <c:v>Skid Pad</c:v>
                </c:pt>
                <c:pt idx="5">
                  <c:v>Autocross</c:v>
                </c:pt>
                <c:pt idx="6">
                  <c:v>Endurance</c:v>
                </c:pt>
                <c:pt idx="7">
                  <c:v>Efficiency</c:v>
                </c:pt>
              </c:strCache>
            </c:strRef>
          </c:cat>
          <c:val>
            <c:numRef>
              <c:f>'School Trend'!$E$26:$E$33</c:f>
              <c:numCache>
                <c:formatCode>General</c:formatCode>
                <c:ptCount val="8"/>
                <c:pt idx="0">
                  <c:v>0.51</c:v>
                </c:pt>
                <c:pt idx="1">
                  <c:v>0.824</c:v>
                </c:pt>
                <c:pt idx="2">
                  <c:v>0.5</c:v>
                </c:pt>
                <c:pt idx="3">
                  <c:v>0.5164</c:v>
                </c:pt>
                <c:pt idx="4">
                  <c:v>0.673733333333333</c:v>
                </c:pt>
                <c:pt idx="5">
                  <c:v>0.63376</c:v>
                </c:pt>
                <c:pt idx="6">
                  <c:v>0.678181818181818</c:v>
                </c:pt>
                <c:pt idx="7">
                  <c:v>0.343</c:v>
                </c:pt>
              </c:numCache>
            </c:numRef>
          </c:val>
        </c:ser>
        <c:ser>
          <c:idx val="3"/>
          <c:order val="3"/>
          <c:tx>
            <c:strRef>
              <c:f>"2025"</c:f>
              <c:strCache>
                <c:ptCount val="1"/>
                <c:pt idx="0">
                  <c:v>2025</c:v>
                </c:pt>
              </c:strCache>
            </c:strRef>
          </c:tx>
          <c:spPr>
            <a:solidFill>
              <a:srgbClr val="1d4e89"/>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Trend'!$A$26:$A$33</c:f>
              <c:strCache>
                <c:ptCount val="8"/>
                <c:pt idx="0">
                  <c:v>Cost</c:v>
                </c:pt>
                <c:pt idx="1">
                  <c:v>Presentation</c:v>
                </c:pt>
                <c:pt idx="2">
                  <c:v>Design</c:v>
                </c:pt>
                <c:pt idx="3">
                  <c:v>Accel</c:v>
                </c:pt>
                <c:pt idx="4">
                  <c:v>Skid Pad</c:v>
                </c:pt>
                <c:pt idx="5">
                  <c:v>Autocross</c:v>
                </c:pt>
                <c:pt idx="6">
                  <c:v>Endurance</c:v>
                </c:pt>
                <c:pt idx="7">
                  <c:v>Efficiency</c:v>
                </c:pt>
              </c:strCache>
            </c:strRef>
          </c:cat>
          <c:val>
            <c:numRef>
              <c:f>'School Trend'!$F$26:$F$33</c:f>
              <c:numCache>
                <c:formatCode>General</c:formatCode>
                <c:ptCount val="8"/>
                <c:pt idx="0">
                  <c:v>0.9022</c:v>
                </c:pt>
                <c:pt idx="1">
                  <c:v>0.665333333333333</c:v>
                </c:pt>
                <c:pt idx="2">
                  <c:v>0.866666666666667</c:v>
                </c:pt>
                <c:pt idx="3">
                  <c:v>0.8134</c:v>
                </c:pt>
                <c:pt idx="4">
                  <c:v>0.752666666666667</c:v>
                </c:pt>
                <c:pt idx="5">
                  <c:v>0.71224</c:v>
                </c:pt>
                <c:pt idx="6">
                  <c:v>0.0763636363636364</c:v>
                </c:pt>
                <c:pt idx="7">
                  <c:v>0</c:v>
                </c:pt>
              </c:numCache>
            </c:numRef>
          </c:val>
        </c:ser>
        <c:ser>
          <c:idx val="4"/>
          <c:order val="4"/>
          <c:tx>
            <c:strRef>
              <c:f>"2026"</c:f>
              <c:strCache>
                <c:ptCount val="1"/>
                <c:pt idx="0">
                  <c:v>2026</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'School Trend'!$A$26:$A$33</c:f>
              <c:strCache>
                <c:ptCount val="8"/>
                <c:pt idx="0">
                  <c:v>Cost</c:v>
                </c:pt>
                <c:pt idx="1">
                  <c:v>Presentation</c:v>
                </c:pt>
                <c:pt idx="2">
                  <c:v>Design</c:v>
                </c:pt>
                <c:pt idx="3">
                  <c:v>Accel</c:v>
                </c:pt>
                <c:pt idx="4">
                  <c:v>Skid Pad</c:v>
                </c:pt>
                <c:pt idx="5">
                  <c:v>Autocross</c:v>
                </c:pt>
                <c:pt idx="6">
                  <c:v>Endurance</c:v>
                </c:pt>
                <c:pt idx="7">
                  <c:v>Efficiency</c:v>
                </c:pt>
              </c:strCache>
            </c:strRef>
          </c:cat>
          <c:val>
            <c:numRef>
              <c:f>'School Trend'!$G$26:$G$33</c:f>
              <c:numCache>
                <c:formatCode>General</c:formatCode>
                <c:ptCount val="8"/>
                <c:pt idx="0">
                  <c:v>0.98</c:v>
                </c:pt>
                <c:pt idx="1">
                  <c:v>0.402666666666667</c:v>
                </c:pt>
                <c:pt idx="2">
                  <c:v>0.953333333333333</c:v>
                </c:pt>
                <c:pt idx="3">
                  <c:v>0.937</c:v>
                </c:pt>
                <c:pt idx="4">
                  <c:v>0.733333333333333</c:v>
                </c:pt>
                <c:pt idx="5">
                  <c:v>0.8752</c:v>
                </c:pt>
                <c:pt idx="6">
                  <c:v>0.677090909090909</c:v>
                </c:pt>
                <c:pt idx="7">
                  <c:v>0.414</c:v>
                </c:pt>
              </c:numCache>
            </c:numRef>
          </c:val>
        </c:ser>
        <c:gapWidth val="150"/>
        <c:overlap val="0"/>
        <c:axId val="13699760"/>
        <c:axId val="11142377"/>
      </c:barChart>
      <c:catAx>
        <c:axId val="1369976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142377"/>
        <c:crosses val="autoZero"/>
        <c:auto val="1"/>
        <c:lblAlgn val="ctr"/>
        <c:lblOffset val="100"/>
        <c:noMultiLvlLbl val="0"/>
      </c:catAx>
      <c:valAx>
        <c:axId val="11142377"/>
        <c:scaling>
          <c:orientation val="minMax"/>
          <c:max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max</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69976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2026: [SCHOOL] vs field average vs best, by event (% of max)</a:t>
            </a:r>
          </a:p>
        </c:rich>
      </c:tx>
      <c:overlay val="0"/>
      <c:spPr>
        <a:noFill/>
        <a:ln w="0">
          <a:noFill/>
        </a:ln>
      </c:spPr>
    </c:title>
    <c:autoTitleDeleted val="0"/>
    <c:plotArea>
      <c:barChart>
        <c:barDir val="col"/>
        <c:grouping val="clustered"/>
        <c:varyColors val="0"/>
        <c:ser>
          <c:idx val="0"/>
          <c:order val="0"/>
          <c:tx>
            <c:strRef>
              <c:f>"[SCHOOL]"</c:f>
              <c:strCache>
                <c:ptCount val="1"/>
                <c:pt idx="0">
                  <c:v>[SCHOOL]</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Dive'!$B$63:$B$70</c:f>
              <c:numCache>
                <c:formatCode>General</c:formatCode>
                <c:ptCount val="8"/>
                <c:pt idx="0">
                  <c:v>0.98</c:v>
                </c:pt>
                <c:pt idx="1">
                  <c:v>0.402666666666667</c:v>
                </c:pt>
                <c:pt idx="2">
                  <c:v>0.953333333333333</c:v>
                </c:pt>
                <c:pt idx="3">
                  <c:v>0.937</c:v>
                </c:pt>
                <c:pt idx="4">
                  <c:v>0.733333333333333</c:v>
                </c:pt>
                <c:pt idx="5">
                  <c:v>0.8752</c:v>
                </c:pt>
                <c:pt idx="6">
                  <c:v>0.677090909090909</c:v>
                </c:pt>
                <c:pt idx="7">
                  <c:v>0.414</c:v>
                </c:pt>
              </c:numCache>
            </c:numRef>
          </c:val>
        </c:ser>
        <c:ser>
          <c:idx val="1"/>
          <c:order val="1"/>
          <c:tx>
            <c:strRef>
              <c:f>"Field avg (scored)"</c:f>
              <c:strCache>
                <c:ptCount val="1"/>
                <c:pt idx="0">
                  <c:v>Field avg (scored)</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Dive'!$C$63:$C$70</c:f>
              <c:numCache>
                <c:formatCode>General</c:formatCode>
                <c:ptCount val="8"/>
                <c:pt idx="0">
                  <c:v>0.683988235294118</c:v>
                </c:pt>
                <c:pt idx="1">
                  <c:v>0.417234567901234</c:v>
                </c:pt>
                <c:pt idx="2">
                  <c:v>0.557471264367816</c:v>
                </c:pt>
                <c:pt idx="3">
                  <c:v>0.523764705882353</c:v>
                </c:pt>
                <c:pt idx="4">
                  <c:v>0.495578947368421</c:v>
                </c:pt>
                <c:pt idx="5">
                  <c:v>0.639576470588235</c:v>
                </c:pt>
                <c:pt idx="6">
                  <c:v>0.308027972027972</c:v>
                </c:pt>
                <c:pt idx="7">
                  <c:v>0.50955</c:v>
                </c:pt>
              </c:numCache>
            </c:numRef>
          </c:val>
        </c:ser>
        <c:ser>
          <c:idx val="2"/>
          <c:order val="2"/>
          <c:tx>
            <c:strRef>
              <c:f>"Field best"</c:f>
              <c:strCache>
                <c:ptCount val="1"/>
                <c:pt idx="0">
                  <c:v>Field best</c:v>
                </c:pt>
              </c:strCache>
            </c:strRef>
          </c:tx>
          <c:spPr>
            <a:solidFill>
              <a:srgbClr val="14213d"/>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'Event Deep Dive'!$A$63:$A$70</c:f>
              <c:strCache>
                <c:ptCount val="8"/>
                <c:pt idx="0">
                  <c:v>Cost</c:v>
                </c:pt>
                <c:pt idx="1">
                  <c:v>Presentation</c:v>
                </c:pt>
                <c:pt idx="2">
                  <c:v>Design</c:v>
                </c:pt>
                <c:pt idx="3">
                  <c:v>Accel</c:v>
                </c:pt>
                <c:pt idx="4">
                  <c:v>Skid Pad</c:v>
                </c:pt>
                <c:pt idx="5">
                  <c:v>Autocross</c:v>
                </c:pt>
                <c:pt idx="6">
                  <c:v>Endurance</c:v>
                </c:pt>
                <c:pt idx="7">
                  <c:v>Efficiency</c:v>
                </c:pt>
              </c:strCache>
            </c:strRef>
          </c:cat>
          <c:val>
            <c:numRef>
              <c:f>'Event Deep Dive'!$D$63:$D$70</c:f>
              <c:numCache>
                <c:formatCode>General</c:formatCode>
                <c:ptCount val="8"/>
                <c:pt idx="0">
                  <c:v>0.98</c:v>
                </c:pt>
                <c:pt idx="1">
                  <c:v>1</c:v>
                </c:pt>
                <c:pt idx="2">
                  <c:v>1</c:v>
                </c:pt>
                <c:pt idx="3">
                  <c:v>1</c:v>
                </c:pt>
                <c:pt idx="4">
                  <c:v>1</c:v>
                </c:pt>
                <c:pt idx="5">
                  <c:v>1</c:v>
                </c:pt>
                <c:pt idx="6">
                  <c:v>1</c:v>
                </c:pt>
                <c:pt idx="7">
                  <c:v>1</c:v>
                </c:pt>
              </c:numCache>
            </c:numRef>
          </c:val>
        </c:ser>
        <c:gapWidth val="150"/>
        <c:overlap val="0"/>
        <c:axId val="35512853"/>
        <c:axId val="6345460"/>
      </c:barChart>
      <c:catAx>
        <c:axId val="35512853"/>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45460"/>
        <c:crosses val="autoZero"/>
        <c:auto val="1"/>
        <c:lblAlgn val="ctr"/>
        <c:lblOffset val="100"/>
        <c:noMultiLvlLbl val="0"/>
      </c:catAx>
      <c:valAx>
        <c:axId val="6345460"/>
        <c:scaling>
          <c:orientation val="minMax"/>
          <c:max val="1"/>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max</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5128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Endurance scoring rate by year</a:t>
            </a:r>
          </a:p>
        </c:rich>
      </c:tx>
      <c:overlay val="0"/>
      <c:spPr>
        <a:noFill/>
        <a:ln w="0">
          <a:noFill/>
        </a:ln>
      </c:spPr>
    </c:title>
    <c:autoTitleDeleted val="0"/>
    <c:plotArea>
      <c:barChart>
        <c:barDir val="col"/>
        <c:grouping val="clustered"/>
        <c:varyColors val="0"/>
        <c:ser>
          <c:idx val="0"/>
          <c:order val="0"/>
          <c:tx>
            <c:strRef>
              <c:f>'Field Overview'!D14</c:f>
              <c:strCache>
                <c:ptCount val="1"/>
                <c:pt idx="0">
                  <c:v>Scoring rate</c:v>
                </c:pt>
              </c:strCache>
            </c:strRef>
          </c:tx>
          <c:spPr>
            <a:solidFill>
              <a:srgbClr val="14213d"/>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'Field Overview'!$A$15:$A$19</c:f>
              <c:strCache>
                <c:ptCount val="5"/>
                <c:pt idx="0">
                  <c:v>2022</c:v>
                </c:pt>
                <c:pt idx="1">
                  <c:v>2023</c:v>
                </c:pt>
                <c:pt idx="2">
                  <c:v>2024</c:v>
                </c:pt>
                <c:pt idx="3">
                  <c:v>2025</c:v>
                </c:pt>
                <c:pt idx="4">
                  <c:v>2026</c:v>
                </c:pt>
              </c:strCache>
            </c:strRef>
          </c:cat>
          <c:val>
            <c:numRef>
              <c:f>'Field Overview'!$D$15:$D$19</c:f>
              <c:numCache>
                <c:formatCode>General</c:formatCode>
                <c:ptCount val="5"/>
                <c:pt idx="0">
                  <c:v>0.255813953488372</c:v>
                </c:pt>
                <c:pt idx="1">
                  <c:v>0.344262295081967</c:v>
                </c:pt>
                <c:pt idx="2">
                  <c:v>0.514285714285714</c:v>
                </c:pt>
                <c:pt idx="3">
                  <c:v>0.384615384615385</c:v>
                </c:pt>
                <c:pt idx="4">
                  <c:v>0.443181818181818</c:v>
                </c:pt>
              </c:numCache>
            </c:numRef>
          </c:val>
        </c:ser>
        <c:gapWidth val="150"/>
        <c:overlap val="0"/>
        <c:axId val="27606316"/>
        <c:axId val="32141496"/>
      </c:barChart>
      <c:catAx>
        <c:axId val="2760631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41496"/>
        <c:crosses val="autoZero"/>
        <c:auto val="1"/>
        <c:lblAlgn val="ctr"/>
        <c:lblOffset val="100"/>
        <c:noMultiLvlLbl val="0"/>
      </c:catAx>
      <c:valAx>
        <c:axId val="321414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Share of ranked teams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0631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Field average vs winner vs [SCHOOL]</a:t>
            </a:r>
          </a:p>
        </c:rich>
      </c:tx>
      <c:overlay val="0"/>
      <c:spPr>
        <a:noFill/>
        <a:ln w="0">
          <a:noFill/>
        </a:ln>
      </c:spPr>
    </c:title>
    <c:autoTitleDeleted val="0"/>
    <c:plotArea>
      <c:lineChart>
        <c:grouping val="standard"/>
        <c:varyColors val="0"/>
        <c:ser>
          <c:idx val="0"/>
          <c:order val="0"/>
          <c:tx>
            <c:strRef>
              <c:f>"Winner"</c:f>
              <c:strCache>
                <c:ptCount val="1"/>
                <c:pt idx="0">
                  <c:v>Winner</c:v>
                </c:pt>
              </c:strCache>
            </c:strRef>
          </c:tx>
          <c:spPr>
            <a:solidFill>
              <a:srgbClr val="14213d"/>
            </a:solidFill>
            <a:ln w="28440">
              <a:solidFill>
                <a:srgbClr val="14213d"/>
              </a:solidFill>
              <a:round/>
            </a:ln>
          </c:spPr>
          <c:marker>
            <c:symbol val="circle"/>
            <c:size val="5"/>
            <c:spPr>
              <a:solidFill>
                <a:srgbClr val="14213d"/>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'Field Overview'!$A$6:$A$10</c:f>
              <c:strCache>
                <c:ptCount val="5"/>
                <c:pt idx="0">
                  <c:v>2022</c:v>
                </c:pt>
                <c:pt idx="1">
                  <c:v>2023</c:v>
                </c:pt>
                <c:pt idx="2">
                  <c:v>2024</c:v>
                </c:pt>
                <c:pt idx="3">
                  <c:v>2025</c:v>
                </c:pt>
                <c:pt idx="4">
                  <c:v>2026</c:v>
                </c:pt>
              </c:strCache>
            </c:strRef>
          </c:cat>
          <c:val>
            <c:numRef>
              <c:f>'Field Overview'!$C$6:$C$10</c:f>
              <c:numCache>
                <c:formatCode>General</c:formatCode>
                <c:ptCount val="5"/>
                <c:pt idx="0">
                  <c:v>847</c:v>
                </c:pt>
                <c:pt idx="1">
                  <c:v>919.1</c:v>
                </c:pt>
                <c:pt idx="2">
                  <c:v>760.6</c:v>
                </c:pt>
                <c:pt idx="3">
                  <c:v>790.4</c:v>
                </c:pt>
                <c:pt idx="4">
                  <c:v>895.5</c:v>
                </c:pt>
              </c:numCache>
            </c:numRef>
          </c:val>
          <c:smooth val="0"/>
        </c:ser>
        <c:ser>
          <c:idx val="1"/>
          <c:order val="1"/>
          <c:tx>
            <c:strRef>
              <c:f>"Field avg"</c:f>
              <c:strCache>
                <c:ptCount val="1"/>
                <c:pt idx="0">
                  <c:v>Field avg</c:v>
                </c:pt>
              </c:strCache>
            </c:strRef>
          </c:tx>
          <c:spPr>
            <a:solidFill>
              <a:srgbClr val="9ca3af"/>
            </a:solidFill>
            <a:ln w="28440">
              <a:solidFill>
                <a:srgbClr val="9ca3af"/>
              </a:solidFill>
              <a:round/>
            </a:ln>
          </c:spPr>
          <c:marker>
            <c:symbol val="circle"/>
            <c:size val="5"/>
            <c:spPr>
              <a:solidFill>
                <a:srgbClr val="9ca3af"/>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'Field Overview'!$A$6:$A$10</c:f>
              <c:strCache>
                <c:ptCount val="5"/>
                <c:pt idx="0">
                  <c:v>2022</c:v>
                </c:pt>
                <c:pt idx="1">
                  <c:v>2023</c:v>
                </c:pt>
                <c:pt idx="2">
                  <c:v>2024</c:v>
                </c:pt>
                <c:pt idx="3">
                  <c:v>2025</c:v>
                </c:pt>
                <c:pt idx="4">
                  <c:v>2026</c:v>
                </c:pt>
              </c:strCache>
            </c:strRef>
          </c:cat>
          <c:val>
            <c:numRef>
              <c:f>'Field Overview'!$D$6:$D$10</c:f>
              <c:numCache>
                <c:formatCode>General</c:formatCode>
                <c:ptCount val="5"/>
                <c:pt idx="0">
                  <c:v>245.246511627907</c:v>
                </c:pt>
                <c:pt idx="1">
                  <c:v>281.086885245902</c:v>
                </c:pt>
                <c:pt idx="2">
                  <c:v>323.397142857143</c:v>
                </c:pt>
                <c:pt idx="3">
                  <c:v>279.869230769231</c:v>
                </c:pt>
                <c:pt idx="4">
                  <c:v>298.657954545455</c:v>
                </c:pt>
              </c:numCache>
            </c:numRef>
          </c:val>
          <c:smooth val="0"/>
        </c:ser>
        <c:ser>
          <c:idx val="2"/>
          <c:order val="2"/>
          <c:tx>
            <c:strRef>
              <c:f>"[SCHOOL]"</c:f>
              <c:strCache>
                <c:ptCount val="1"/>
                <c:pt idx="0">
                  <c:v>[SCHOOL]</c:v>
                </c:pt>
              </c:strCache>
            </c:strRef>
          </c:tx>
          <c:spPr>
            <a:solidFill>
              <a:srgbClr val="c8102e"/>
            </a:solidFill>
            <a:ln w="28440">
              <a:solidFill>
                <a:srgbClr val="c8102e"/>
              </a:solidFill>
              <a:round/>
            </a:ln>
          </c:spPr>
          <c:marker>
            <c:symbol val="circle"/>
            <c:size val="5"/>
            <c:spPr>
              <a:solidFill>
                <a:srgbClr val="c8102e"/>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'Field Overview'!$A$6:$A$10</c:f>
              <c:strCache>
                <c:ptCount val="5"/>
                <c:pt idx="0">
                  <c:v>2022</c:v>
                </c:pt>
                <c:pt idx="1">
                  <c:v>2023</c:v>
                </c:pt>
                <c:pt idx="2">
                  <c:v>2024</c:v>
                </c:pt>
                <c:pt idx="3">
                  <c:v>2025</c:v>
                </c:pt>
                <c:pt idx="4">
                  <c:v>2026</c:v>
                </c:pt>
              </c:strCache>
            </c:strRef>
          </c:cat>
          <c:val>
            <c:numRef>
              <c:f>'Field Overview'!$H$6:$H$10</c:f>
              <c:numCache>
                <c:formatCode>General</c:formatCode>
                <c:ptCount val="5"/>
                <c:pt idx="0">
                  <c:v>646</c:v>
                </c:pt>
                <c:pt idx="1">
                  <c:v>762.4</c:v>
                </c:pt>
                <c:pt idx="2">
                  <c:v>589.9</c:v>
                </c:pt>
                <c:pt idx="3">
                  <c:v>518</c:v>
                </c:pt>
                <c:pt idx="4">
                  <c:v>756.9</c:v>
                </c:pt>
              </c:numCache>
            </c:numRef>
          </c:val>
          <c:smooth val="0"/>
        </c:ser>
        <c:hiLowLines>
          <c:spPr>
            <a:ln w="0">
              <a:noFill/>
            </a:ln>
          </c:spPr>
        </c:hiLowLines>
        <c:marker val="1"/>
        <c:axId val="59280335"/>
        <c:axId val="67840222"/>
      </c:lineChart>
      <c:catAx>
        <c:axId val="5928033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840222"/>
        <c:crosses val="autoZero"/>
        <c:auto val="1"/>
        <c:lblAlgn val="ctr"/>
        <c:lblOffset val="100"/>
        <c:noMultiLvlLbl val="0"/>
      </c:catAx>
      <c:valAx>
        <c:axId val="678402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2803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2026 top 10: points by event</a:t>
            </a:r>
          </a:p>
        </c:rich>
      </c:tx>
      <c:overlay val="0"/>
      <c:spPr>
        <a:noFill/>
        <a:ln w="0">
          <a:noFill/>
        </a:ln>
      </c:spPr>
    </c:title>
    <c:autoTitleDeleted val="0"/>
    <c:plotArea>
      <c:barChart>
        <c:barDir val="bar"/>
        <c:grouping val="stacked"/>
        <c:varyColors val="0"/>
        <c:ser>
          <c:idx val="0"/>
          <c:order val="0"/>
          <c:tx>
            <c:strRef>
              <c:f>"Cost"</c:f>
              <c:strCache>
                <c:ptCount val="1"/>
                <c:pt idx="0">
                  <c:v>Cost</c:v>
                </c:pt>
              </c:strCache>
            </c:strRef>
          </c:tx>
          <c:spPr>
            <a:solidFill>
              <a:srgbClr val="1d4e89"/>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Results'!$E$5:$E$14</c:f>
              <c:numCache>
                <c:formatCode>General</c:formatCode>
                <c:ptCount val="10"/>
                <c:pt idx="0">
                  <c:v>89.1</c:v>
                </c:pt>
                <c:pt idx="1">
                  <c:v>78.4</c:v>
                </c:pt>
                <c:pt idx="2">
                  <c:v>86.5</c:v>
                </c:pt>
                <c:pt idx="3">
                  <c:v>98</c:v>
                </c:pt>
                <c:pt idx="4">
                  <c:v>91.8</c:v>
                </c:pt>
                <c:pt idx="5">
                  <c:v>84.2</c:v>
                </c:pt>
                <c:pt idx="6">
                  <c:v>84.1</c:v>
                </c:pt>
                <c:pt idx="7">
                  <c:v>63.4</c:v>
                </c:pt>
                <c:pt idx="8">
                  <c:v>83.1</c:v>
                </c:pt>
                <c:pt idx="9">
                  <c:v>85</c:v>
                </c:pt>
              </c:numCache>
            </c:numRef>
          </c:val>
        </c:ser>
        <c:ser>
          <c:idx val="1"/>
          <c:order val="1"/>
          <c:tx>
            <c:strRef>
              <c:f>"Presentation"</c:f>
              <c:strCache>
                <c:ptCount val="1"/>
                <c:pt idx="0">
                  <c:v>Presentation</c:v>
                </c:pt>
              </c:strCache>
            </c:strRef>
          </c:tx>
          <c:spPr>
            <a:solidFill>
              <a:srgbClr val="f2b705"/>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Results'!$F$5:$F$14</c:f>
              <c:numCache>
                <c:formatCode>General</c:formatCode>
                <c:ptCount val="10"/>
                <c:pt idx="0">
                  <c:v>75</c:v>
                </c:pt>
                <c:pt idx="1">
                  <c:v>73.4</c:v>
                </c:pt>
                <c:pt idx="2">
                  <c:v>17.6</c:v>
                </c:pt>
                <c:pt idx="3">
                  <c:v>30.2</c:v>
                </c:pt>
                <c:pt idx="4">
                  <c:v>70.6</c:v>
                </c:pt>
                <c:pt idx="5">
                  <c:v>15</c:v>
                </c:pt>
                <c:pt idx="6">
                  <c:v>37.4</c:v>
                </c:pt>
                <c:pt idx="7">
                  <c:v>33.7</c:v>
                </c:pt>
                <c:pt idx="8">
                  <c:v>19.1</c:v>
                </c:pt>
                <c:pt idx="9">
                  <c:v>70.7</c:v>
                </c:pt>
              </c:numCache>
            </c:numRef>
          </c:val>
        </c:ser>
        <c:ser>
          <c:idx val="2"/>
          <c:order val="2"/>
          <c:tx>
            <c:strRef>
              <c:f>"Design"</c:f>
              <c:strCache>
                <c:ptCount val="1"/>
                <c:pt idx="0">
                  <c:v>Design</c:v>
                </c:pt>
              </c:strCache>
            </c:strRef>
          </c:tx>
          <c:spPr>
            <a:solidFill>
              <a:srgbClr val="6b7280"/>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Results'!$G$5:$G$14</c:f>
              <c:numCache>
                <c:formatCode>General</c:formatCode>
                <c:ptCount val="10"/>
                <c:pt idx="0">
                  <c:v>134</c:v>
                </c:pt>
                <c:pt idx="1">
                  <c:v>141</c:v>
                </c:pt>
                <c:pt idx="2">
                  <c:v>140</c:v>
                </c:pt>
                <c:pt idx="3">
                  <c:v>143</c:v>
                </c:pt>
                <c:pt idx="4">
                  <c:v>90</c:v>
                </c:pt>
                <c:pt idx="5">
                  <c:v>150</c:v>
                </c:pt>
                <c:pt idx="6">
                  <c:v>120</c:v>
                </c:pt>
                <c:pt idx="7">
                  <c:v>132</c:v>
                </c:pt>
                <c:pt idx="8">
                  <c:v>138</c:v>
                </c:pt>
                <c:pt idx="9">
                  <c:v>115</c:v>
                </c:pt>
              </c:numCache>
            </c:numRef>
          </c:val>
        </c:ser>
        <c:ser>
          <c:idx val="3"/>
          <c:order val="3"/>
          <c:tx>
            <c:strRef>
              <c:f>"Accel"</c:f>
              <c:strCache>
                <c:ptCount val="1"/>
                <c:pt idx="0">
                  <c:v>Accel</c:v>
                </c:pt>
              </c:strCache>
            </c:strRef>
          </c:tx>
          <c:spPr>
            <a:solidFill>
              <a:srgbClr val="2e7d32"/>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Results'!$H$5:$H$14</c:f>
              <c:numCache>
                <c:formatCode>General</c:formatCode>
                <c:ptCount val="10"/>
                <c:pt idx="0">
                  <c:v>81.8</c:v>
                </c:pt>
                <c:pt idx="1">
                  <c:v>95.1</c:v>
                </c:pt>
                <c:pt idx="2">
                  <c:v>83.4</c:v>
                </c:pt>
                <c:pt idx="3">
                  <c:v>93.7</c:v>
                </c:pt>
                <c:pt idx="4">
                  <c:v>52.9</c:v>
                </c:pt>
                <c:pt idx="5">
                  <c:v>100</c:v>
                </c:pt>
                <c:pt idx="6">
                  <c:v>45.8</c:v>
                </c:pt>
                <c:pt idx="7">
                  <c:v>47.1</c:v>
                </c:pt>
                <c:pt idx="8">
                  <c:v>89.4</c:v>
                </c:pt>
                <c:pt idx="9">
                  <c:v>57.3</c:v>
                </c:pt>
              </c:numCache>
            </c:numRef>
          </c:val>
        </c:ser>
        <c:ser>
          <c:idx val="4"/>
          <c:order val="4"/>
          <c:tx>
            <c:strRef>
              <c:f>"Skid Pad"</c:f>
              <c:strCache>
                <c:ptCount val="1"/>
                <c:pt idx="0">
                  <c:v>Skid Pad</c:v>
                </c:pt>
              </c:strCache>
            </c:strRef>
          </c:tx>
          <c:spPr>
            <a:solidFill>
              <a:srgbClr val="8e44ad"/>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Results'!$I$5:$I$14</c:f>
              <c:numCache>
                <c:formatCode>General</c:formatCode>
                <c:ptCount val="10"/>
                <c:pt idx="0">
                  <c:v>67.7</c:v>
                </c:pt>
                <c:pt idx="1">
                  <c:v>75</c:v>
                </c:pt>
                <c:pt idx="2">
                  <c:v>56.1</c:v>
                </c:pt>
                <c:pt idx="3">
                  <c:v>55</c:v>
                </c:pt>
                <c:pt idx="4">
                  <c:v>65.1</c:v>
                </c:pt>
                <c:pt idx="5">
                  <c:v>56.6</c:v>
                </c:pt>
                <c:pt idx="6">
                  <c:v>45.5</c:v>
                </c:pt>
                <c:pt idx="7">
                  <c:v>52.6</c:v>
                </c:pt>
                <c:pt idx="8">
                  <c:v>24.9</c:v>
                </c:pt>
                <c:pt idx="9">
                  <c:v>50.5</c:v>
                </c:pt>
              </c:numCache>
            </c:numRef>
          </c:val>
        </c:ser>
        <c:ser>
          <c:idx val="5"/>
          <c:order val="5"/>
          <c:tx>
            <c:strRef>
              <c:f>"Autocross"</c:f>
              <c:strCache>
                <c:ptCount val="1"/>
                <c:pt idx="0">
                  <c:v>Autocross</c:v>
                </c:pt>
              </c:strCache>
            </c:strRef>
          </c:tx>
          <c:spPr>
            <a:solidFill>
              <a:srgbClr val="e67e22"/>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Results'!$J$5:$J$14</c:f>
              <c:numCache>
                <c:formatCode>General</c:formatCode>
                <c:ptCount val="10"/>
                <c:pt idx="0">
                  <c:v>124.4</c:v>
                </c:pt>
                <c:pt idx="1">
                  <c:v>125</c:v>
                </c:pt>
                <c:pt idx="2">
                  <c:v>117</c:v>
                </c:pt>
                <c:pt idx="3">
                  <c:v>109.4</c:v>
                </c:pt>
                <c:pt idx="4">
                  <c:v>118.2</c:v>
                </c:pt>
                <c:pt idx="5">
                  <c:v>121.6</c:v>
                </c:pt>
                <c:pt idx="6">
                  <c:v>101.6</c:v>
                </c:pt>
                <c:pt idx="7">
                  <c:v>106.1</c:v>
                </c:pt>
                <c:pt idx="8">
                  <c:v>97.7</c:v>
                </c:pt>
                <c:pt idx="9">
                  <c:v>101.4</c:v>
                </c:pt>
              </c:numCache>
            </c:numRef>
          </c:val>
        </c:ser>
        <c:ser>
          <c:idx val="6"/>
          <c:order val="6"/>
          <c:tx>
            <c:strRef>
              <c:f>"Endurance"</c:f>
              <c:strCache>
                <c:ptCount val="1"/>
                <c:pt idx="0">
                  <c:v>Endurance</c:v>
                </c:pt>
              </c:strCache>
            </c:strRef>
          </c:tx>
          <c:spPr>
            <a:solidFill>
              <a:srgbClr val="c8102e"/>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Results'!$K$5:$K$14</c:f>
              <c:numCache>
                <c:formatCode>General</c:formatCode>
                <c:ptCount val="10"/>
                <c:pt idx="0">
                  <c:v>275</c:v>
                </c:pt>
                <c:pt idx="1">
                  <c:v>216.5</c:v>
                </c:pt>
                <c:pt idx="2">
                  <c:v>206.5</c:v>
                </c:pt>
                <c:pt idx="3">
                  <c:v>186.2</c:v>
                </c:pt>
                <c:pt idx="4">
                  <c:v>202.2</c:v>
                </c:pt>
                <c:pt idx="5">
                  <c:v>158.1</c:v>
                </c:pt>
                <c:pt idx="6">
                  <c:v>227.3</c:v>
                </c:pt>
                <c:pt idx="7">
                  <c:v>218.1</c:v>
                </c:pt>
                <c:pt idx="8">
                  <c:v>186.8</c:v>
                </c:pt>
                <c:pt idx="9">
                  <c:v>151.3</c:v>
                </c:pt>
              </c:numCache>
            </c:numRef>
          </c:val>
        </c:ser>
        <c:ser>
          <c:idx val="7"/>
          <c:order val="7"/>
          <c:tx>
            <c:strRef>
              <c:f>"Efficiency"</c:f>
              <c:strCache>
                <c:ptCount val="1"/>
                <c:pt idx="0">
                  <c:v>Efficiency</c:v>
                </c:pt>
              </c:strCache>
            </c:strRef>
          </c:tx>
          <c:spPr>
            <a:solidFill>
              <a:srgbClr val="17a2b8"/>
            </a:solidFill>
            <a:ln w="0">
              <a:noFill/>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'2026 Results'!$C$5:$C$14</c:f>
              <c:strCache>
                <c:ptCount val="10"/>
                <c:pt idx="0">
                  <c:v>Oregon State Univ</c:v>
                </c:pt>
                <c:pt idx="1">
                  <c:v>Rochester Institute of Technology</c:v>
                </c:pt>
                <c:pt idx="2">
                  <c:v>Univ of Pittsburgh - Pittsburgh</c:v>
                </c:pt>
                <c:pt idx="3">
                  <c:v>[SCHOOL]</c:v>
                </c:pt>
                <c:pt idx="4">
                  <c:v>Univ of Connecticut</c:v>
                </c:pt>
                <c:pt idx="5">
                  <c:v>Univ of Wisconsin - Madison</c:v>
                </c:pt>
                <c:pt idx="6">
                  <c:v>California Polytechnic State Univ-SLO</c:v>
                </c:pt>
                <c:pt idx="7">
                  <c:v>Kookmin Univ</c:v>
                </c:pt>
                <c:pt idx="8">
                  <c:v>Cornell Univ</c:v>
                </c:pt>
                <c:pt idx="9">
                  <c:v>Univ of Michigan - Ann Arbor</c:v>
                </c:pt>
              </c:strCache>
            </c:strRef>
          </c:cat>
          <c:val>
            <c:numRef>
              <c:f>'2026 Results'!$L$5:$L$14</c:f>
              <c:numCache>
                <c:formatCode>General</c:formatCode>
                <c:ptCount val="10"/>
                <c:pt idx="0">
                  <c:v>48.6</c:v>
                </c:pt>
                <c:pt idx="1">
                  <c:v>52.3</c:v>
                </c:pt>
                <c:pt idx="2">
                  <c:v>100</c:v>
                </c:pt>
                <c:pt idx="3">
                  <c:v>41.4</c:v>
                </c:pt>
                <c:pt idx="4">
                  <c:v>66.1</c:v>
                </c:pt>
                <c:pt idx="5">
                  <c:v>58.4</c:v>
                </c:pt>
                <c:pt idx="6">
                  <c:v>55.8</c:v>
                </c:pt>
                <c:pt idx="7">
                  <c:v>43</c:v>
                </c:pt>
                <c:pt idx="8">
                  <c:v>42.2</c:v>
                </c:pt>
                <c:pt idx="9">
                  <c:v>40.1</c:v>
                </c:pt>
              </c:numCache>
            </c:numRef>
          </c:val>
        </c:ser>
        <c:gapWidth val="150"/>
        <c:overlap val="100"/>
        <c:axId val="78254319"/>
        <c:axId val="794997"/>
      </c:barChart>
      <c:catAx>
        <c:axId val="78254319"/>
        <c:scaling>
          <c:orientation val="maxMin"/>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4997"/>
        <c:crosses val="autoZero"/>
        <c:auto val="1"/>
        <c:lblAlgn val="ctr"/>
        <c:lblOffset val="100"/>
        <c:noMultiLvlLbl val="0"/>
      </c:catAx>
      <c:valAx>
        <c:axId val="79499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5431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Score change 2025 to 2026 (points)</a:t>
            </a:r>
          </a:p>
        </c:rich>
      </c:tx>
      <c:overlay val="0"/>
      <c:spPr>
        <a:noFill/>
        <a:ln w="0">
          <a:noFill/>
        </a:ln>
      </c:spPr>
    </c:title>
    <c:autoTitleDeleted val="0"/>
    <c:plotArea>
      <c:barChart>
        <c:barDir val="bar"/>
        <c:grouping val="clustered"/>
        <c:varyColors val="0"/>
        <c:ser>
          <c:idx val="0"/>
          <c:order val="0"/>
          <c:tx>
            <c:strRef>
              <c:f>Competitors!D21</c:f>
              <c:strCache>
                <c:ptCount val="1"/>
                <c:pt idx="0">
                  <c:v>Change</c:v>
                </c:pt>
              </c:strCache>
            </c:strRef>
          </c:tx>
          <c:spPr>
            <a:solidFill>
              <a:srgbClr val="14213d"/>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Competitors!$A$22:$A$34</c:f>
              <c:strCache>
                <c:ptCount val="13"/>
                <c:pt idx="0">
                  <c:v>Ecole de Technologie Superieure</c:v>
                </c:pt>
                <c:pt idx="1">
                  <c:v>Univ of Akron</c:v>
                </c:pt>
                <c:pt idx="2">
                  <c:v>Univ of Kansas - Lawrence</c:v>
                </c:pt>
                <c:pt idx="3">
                  <c:v>Texas A&amp;M Univ</c:v>
                </c:pt>
                <c:pt idx="4">
                  <c:v>Cornell Univ</c:v>
                </c:pt>
                <c:pt idx="5">
                  <c:v>Concordia University</c:v>
                </c:pt>
                <c:pt idx="6">
                  <c:v>Univ of Michigan - Ann Arbor</c:v>
                </c:pt>
                <c:pt idx="7">
                  <c:v>Auburn Univ</c:v>
                </c:pt>
                <c:pt idx="8">
                  <c:v>San Jose State University</c:v>
                </c:pt>
                <c:pt idx="9">
                  <c:v>Purdue Univ - W Lafayette</c:v>
                </c:pt>
                <c:pt idx="10">
                  <c:v>National Univ of Singapore</c:v>
                </c:pt>
                <c:pt idx="11">
                  <c:v>Ecole Polytechnique Montreal</c:v>
                </c:pt>
                <c:pt idx="12">
                  <c:v>Georgia Institute of Technology</c:v>
                </c:pt>
              </c:strCache>
            </c:strRef>
          </c:cat>
          <c:val>
            <c:numRef>
              <c:f>Competitors!$D$22:$D$34</c:f>
              <c:numCache>
                <c:formatCode>General</c:formatCode>
                <c:ptCount val="13"/>
                <c:pt idx="0">
                  <c:v>443.9</c:v>
                </c:pt>
                <c:pt idx="1">
                  <c:v>421.7</c:v>
                </c:pt>
                <c:pt idx="2">
                  <c:v>395.7</c:v>
                </c:pt>
                <c:pt idx="3">
                  <c:v>374.4</c:v>
                </c:pt>
                <c:pt idx="4">
                  <c:v>343.3</c:v>
                </c:pt>
                <c:pt idx="5">
                  <c:v>280.7</c:v>
                </c:pt>
                <c:pt idx="6">
                  <c:v>280.7</c:v>
                </c:pt>
                <c:pt idx="7">
                  <c:v>275.4</c:v>
                </c:pt>
                <c:pt idx="8">
                  <c:v>-393.7</c:v>
                </c:pt>
                <c:pt idx="9">
                  <c:v>-400.7</c:v>
                </c:pt>
                <c:pt idx="10">
                  <c:v>-473.6</c:v>
                </c:pt>
                <c:pt idx="11">
                  <c:v>-483</c:v>
                </c:pt>
                <c:pt idx="12">
                  <c:v>-497.7</c:v>
                </c:pt>
              </c:numCache>
            </c:numRef>
          </c:val>
        </c:ser>
        <c:gapWidth val="150"/>
        <c:overlap val="0"/>
        <c:axId val="46628330"/>
        <c:axId val="8700724"/>
      </c:barChart>
      <c:catAx>
        <c:axId val="46628330"/>
        <c:scaling>
          <c:orientation val="maxMin"/>
        </c:scaling>
        <c:delete val="0"/>
        <c:axPos val="b"/>
        <c:numFmt formatCode="General" sourceLinked="0"/>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700724"/>
        <c:crosses val="autoZero"/>
        <c:auto val="1"/>
        <c:lblAlgn val="ctr"/>
        <c:lblOffset val="100"/>
        <c:noMultiLvlLbl val="0"/>
      </c:catAx>
      <c:valAx>
        <c:axId val="870072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Points</a:t>
                </a:r>
              </a:p>
            </c:rich>
          </c:tx>
          <c:overlay val="0"/>
          <c:spPr>
            <a:noFill/>
            <a:ln w="0">
              <a:noFill/>
            </a:ln>
          </c:spPr>
        </c:title>
        <c:numFmt formatCode="\+0.0;[RED]\-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62833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total score by number of motors</a:t>
            </a:r>
          </a:p>
        </c:rich>
      </c:tx>
      <c:overlay val="0"/>
      <c:spPr>
        <a:noFill/>
        <a:ln w="0">
          <a:noFill/>
        </a:ln>
      </c:spPr>
    </c:title>
    <c:autoTitleDeleted val="0"/>
    <c:plotArea>
      <c:barChart>
        <c:barDir val="col"/>
        <c:grouping val="clustered"/>
        <c:varyColors val="0"/>
        <c:ser>
          <c:idx val="0"/>
          <c:order val="0"/>
          <c:tx>
            <c:strRef>
              <c:f>"2023 avg"</c:f>
              <c:strCache>
                <c:ptCount val="1"/>
                <c:pt idx="0">
                  <c:v>2023 avg</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Analysis'!$A$13:$A$16</c:f>
              <c:strCache>
                <c:ptCount val="4"/>
                <c:pt idx="0">
                  <c:v>1 motor</c:v>
                </c:pt>
                <c:pt idx="1">
                  <c:v>2 motors</c:v>
                </c:pt>
                <c:pt idx="2">
                  <c:v>3 motors</c:v>
                </c:pt>
                <c:pt idx="3">
                  <c:v>4 motors</c:v>
                </c:pt>
              </c:strCache>
            </c:strRef>
          </c:cat>
          <c:val>
            <c:numRef>
              <c:f>'Car Specs Analysis'!$B$13:$B$16</c:f>
              <c:numCache>
                <c:formatCode>General</c:formatCode>
                <c:ptCount val="4"/>
                <c:pt idx="0">
                  <c:v>239.4</c:v>
                </c:pt>
                <c:pt idx="1">
                  <c:v>201.6</c:v>
                </c:pt>
                <c:pt idx="3">
                  <c:v>508.7</c:v>
                </c:pt>
              </c:numCache>
            </c:numRef>
          </c:val>
        </c:ser>
        <c:ser>
          <c:idx val="1"/>
          <c:order val="1"/>
          <c:tx>
            <c:strRef>
              <c:f>"2024 avg"</c:f>
              <c:strCache>
                <c:ptCount val="1"/>
                <c:pt idx="0">
                  <c:v>2024 avg</c:v>
                </c:pt>
              </c:strCache>
            </c:strRef>
          </c:tx>
          <c:spPr>
            <a:solidFill>
              <a:srgbClr val="f2b705"/>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Analysis'!$A$13:$A$16</c:f>
              <c:strCache>
                <c:ptCount val="4"/>
                <c:pt idx="0">
                  <c:v>1 motor</c:v>
                </c:pt>
                <c:pt idx="1">
                  <c:v>2 motors</c:v>
                </c:pt>
                <c:pt idx="2">
                  <c:v>3 motors</c:v>
                </c:pt>
                <c:pt idx="3">
                  <c:v>4 motors</c:v>
                </c:pt>
              </c:strCache>
            </c:strRef>
          </c:cat>
          <c:val>
            <c:numRef>
              <c:f>'Car Specs Analysis'!$C$13:$C$16</c:f>
              <c:numCache>
                <c:formatCode>General</c:formatCode>
                <c:ptCount val="4"/>
                <c:pt idx="0">
                  <c:v>307.5</c:v>
                </c:pt>
                <c:pt idx="1">
                  <c:v>198.2</c:v>
                </c:pt>
                <c:pt idx="3">
                  <c:v>536.7</c:v>
                </c:pt>
              </c:numCache>
            </c:numRef>
          </c:val>
        </c:ser>
        <c:ser>
          <c:idx val="2"/>
          <c:order val="2"/>
          <c:tx>
            <c:strRef>
              <c:f>"2025 avg"</c:f>
              <c:strCache>
                <c:ptCount val="1"/>
                <c:pt idx="0">
                  <c:v>2025 avg</c:v>
                </c:pt>
              </c:strCache>
            </c:strRef>
          </c:tx>
          <c:spPr>
            <a:solidFill>
              <a:srgbClr val="6b7280"/>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Analysis'!$A$13:$A$16</c:f>
              <c:strCache>
                <c:ptCount val="4"/>
                <c:pt idx="0">
                  <c:v>1 motor</c:v>
                </c:pt>
                <c:pt idx="1">
                  <c:v>2 motors</c:v>
                </c:pt>
                <c:pt idx="2">
                  <c:v>3 motors</c:v>
                </c:pt>
                <c:pt idx="3">
                  <c:v>4 motors</c:v>
                </c:pt>
              </c:strCache>
            </c:strRef>
          </c:cat>
          <c:val>
            <c:numRef>
              <c:f>'Car Specs Analysis'!$D$13:$D$16</c:f>
              <c:numCache>
                <c:formatCode>General</c:formatCode>
                <c:ptCount val="4"/>
                <c:pt idx="0">
                  <c:v>251.6</c:v>
                </c:pt>
                <c:pt idx="1">
                  <c:v>312.2</c:v>
                </c:pt>
                <c:pt idx="3">
                  <c:v>424.2</c:v>
                </c:pt>
              </c:numCache>
            </c:numRef>
          </c:val>
        </c:ser>
        <c:ser>
          <c:idx val="3"/>
          <c:order val="3"/>
          <c:tx>
            <c:strRef>
              <c:f>"2026 avg"</c:f>
              <c:strCache>
                <c:ptCount val="1"/>
                <c:pt idx="0">
                  <c:v>2026 avg</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Analysis'!$A$13:$A$16</c:f>
              <c:strCache>
                <c:ptCount val="4"/>
                <c:pt idx="0">
                  <c:v>1 motor</c:v>
                </c:pt>
                <c:pt idx="1">
                  <c:v>2 motors</c:v>
                </c:pt>
                <c:pt idx="2">
                  <c:v>3 motors</c:v>
                </c:pt>
                <c:pt idx="3">
                  <c:v>4 motors</c:v>
                </c:pt>
              </c:strCache>
            </c:strRef>
          </c:cat>
          <c:val>
            <c:numRef>
              <c:f>'Car Specs Analysis'!$E$13:$E$16</c:f>
              <c:numCache>
                <c:formatCode>General</c:formatCode>
                <c:ptCount val="4"/>
                <c:pt idx="0">
                  <c:v>238.8</c:v>
                </c:pt>
                <c:pt idx="3">
                  <c:v>484.9</c:v>
                </c:pt>
              </c:numCache>
            </c:numRef>
          </c:val>
        </c:ser>
        <c:gapWidth val="150"/>
        <c:overlap val="0"/>
        <c:axId val="8867645"/>
        <c:axId val="98368644"/>
      </c:barChart>
      <c:catAx>
        <c:axId val="8867645"/>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368644"/>
        <c:crosses val="autoZero"/>
        <c:auto val="1"/>
        <c:lblAlgn val="ctr"/>
        <c:lblOffset val="100"/>
        <c:noMultiLvlLbl val="0"/>
      </c:catAx>
      <c:valAx>
        <c:axId val="983686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total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676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total score by weight bracket</a:t>
            </a:r>
          </a:p>
        </c:rich>
      </c:tx>
      <c:overlay val="0"/>
      <c:spPr>
        <a:noFill/>
        <a:ln w="0">
          <a:noFill/>
        </a:ln>
      </c:spPr>
    </c:title>
    <c:autoTitleDeleted val="0"/>
    <c:plotArea>
      <c:barChart>
        <c:barDir val="col"/>
        <c:grouping val="clustered"/>
        <c:varyColors val="0"/>
        <c:ser>
          <c:idx val="0"/>
          <c:order val="0"/>
          <c:tx>
            <c:strRef>
              <c:f>"2023 avg"</c:f>
              <c:strCache>
                <c:ptCount val="1"/>
                <c:pt idx="0">
                  <c:v>2023 avg</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Analysis'!$A$21:$A$26</c:f>
              <c:strCache>
                <c:ptCount val="6"/>
                <c:pt idx="0">
                  <c:v>under 190 kg</c:v>
                </c:pt>
                <c:pt idx="1">
                  <c:v>190-199.9</c:v>
                </c:pt>
                <c:pt idx="2">
                  <c:v>200-209.9</c:v>
                </c:pt>
                <c:pt idx="3">
                  <c:v>210-219.9</c:v>
                </c:pt>
                <c:pt idx="4">
                  <c:v>220-239.9</c:v>
                </c:pt>
                <c:pt idx="5">
                  <c:v>240 kg and over</c:v>
                </c:pt>
              </c:strCache>
            </c:strRef>
          </c:cat>
          <c:val>
            <c:numRef>
              <c:f>'Car Specs Analysis'!$B$21:$B$26</c:f>
              <c:numCache>
                <c:formatCode>General</c:formatCode>
                <c:ptCount val="6"/>
                <c:pt idx="0">
                  <c:v>281.8</c:v>
                </c:pt>
                <c:pt idx="1">
                  <c:v>291.5</c:v>
                </c:pt>
                <c:pt idx="2">
                  <c:v>411.4</c:v>
                </c:pt>
                <c:pt idx="3">
                  <c:v>445.7</c:v>
                </c:pt>
                <c:pt idx="4">
                  <c:v>199.8</c:v>
                </c:pt>
                <c:pt idx="5">
                  <c:v>217.9</c:v>
                </c:pt>
              </c:numCache>
            </c:numRef>
          </c:val>
        </c:ser>
        <c:ser>
          <c:idx val="1"/>
          <c:order val="1"/>
          <c:tx>
            <c:strRef>
              <c:f>"2024 avg"</c:f>
              <c:strCache>
                <c:ptCount val="1"/>
                <c:pt idx="0">
                  <c:v>2024 avg</c:v>
                </c:pt>
              </c:strCache>
            </c:strRef>
          </c:tx>
          <c:spPr>
            <a:solidFill>
              <a:srgbClr val="f2b705"/>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Analysis'!$A$21:$A$26</c:f>
              <c:strCache>
                <c:ptCount val="6"/>
                <c:pt idx="0">
                  <c:v>under 190 kg</c:v>
                </c:pt>
                <c:pt idx="1">
                  <c:v>190-199.9</c:v>
                </c:pt>
                <c:pt idx="2">
                  <c:v>200-209.9</c:v>
                </c:pt>
                <c:pt idx="3">
                  <c:v>210-219.9</c:v>
                </c:pt>
                <c:pt idx="4">
                  <c:v>220-239.9</c:v>
                </c:pt>
                <c:pt idx="5">
                  <c:v>240 kg and over</c:v>
                </c:pt>
              </c:strCache>
            </c:strRef>
          </c:cat>
          <c:val>
            <c:numRef>
              <c:f>'Car Specs Analysis'!$C$21:$C$26</c:f>
              <c:numCache>
                <c:formatCode>General</c:formatCode>
                <c:ptCount val="6"/>
                <c:pt idx="0">
                  <c:v>363.9</c:v>
                </c:pt>
                <c:pt idx="1">
                  <c:v>414.4</c:v>
                </c:pt>
                <c:pt idx="2">
                  <c:v>573.2</c:v>
                </c:pt>
                <c:pt idx="3">
                  <c:v>343.3</c:v>
                </c:pt>
                <c:pt idx="4">
                  <c:v>229.7</c:v>
                </c:pt>
                <c:pt idx="5">
                  <c:v>256.2</c:v>
                </c:pt>
              </c:numCache>
            </c:numRef>
          </c:val>
        </c:ser>
        <c:ser>
          <c:idx val="2"/>
          <c:order val="2"/>
          <c:tx>
            <c:strRef>
              <c:f>"2025 avg"</c:f>
              <c:strCache>
                <c:ptCount val="1"/>
                <c:pt idx="0">
                  <c:v>2025 avg</c:v>
                </c:pt>
              </c:strCache>
            </c:strRef>
          </c:tx>
          <c:spPr>
            <a:solidFill>
              <a:srgbClr val="6b7280"/>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Analysis'!$A$21:$A$26</c:f>
              <c:strCache>
                <c:ptCount val="6"/>
                <c:pt idx="0">
                  <c:v>under 190 kg</c:v>
                </c:pt>
                <c:pt idx="1">
                  <c:v>190-199.9</c:v>
                </c:pt>
                <c:pt idx="2">
                  <c:v>200-209.9</c:v>
                </c:pt>
                <c:pt idx="3">
                  <c:v>210-219.9</c:v>
                </c:pt>
                <c:pt idx="4">
                  <c:v>220-239.9</c:v>
                </c:pt>
                <c:pt idx="5">
                  <c:v>240 kg and over</c:v>
                </c:pt>
              </c:strCache>
            </c:strRef>
          </c:cat>
          <c:val>
            <c:numRef>
              <c:f>'Car Specs Analysis'!$D$21:$D$26</c:f>
              <c:numCache>
                <c:formatCode>General</c:formatCode>
                <c:ptCount val="6"/>
                <c:pt idx="0">
                  <c:v>290.1</c:v>
                </c:pt>
                <c:pt idx="1">
                  <c:v>481.4</c:v>
                </c:pt>
                <c:pt idx="2">
                  <c:v>499.4</c:v>
                </c:pt>
                <c:pt idx="3">
                  <c:v>303.1</c:v>
                </c:pt>
                <c:pt idx="4">
                  <c:v>255.9</c:v>
                </c:pt>
                <c:pt idx="5">
                  <c:v>174.9</c:v>
                </c:pt>
              </c:numCache>
            </c:numRef>
          </c:val>
        </c:ser>
        <c:ser>
          <c:idx val="3"/>
          <c:order val="3"/>
          <c:tx>
            <c:strRef>
              <c:f>"2026 avg"</c:f>
              <c:strCache>
                <c:ptCount val="1"/>
                <c:pt idx="0">
                  <c:v>2026 avg</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Analysis'!$A$21:$A$26</c:f>
              <c:strCache>
                <c:ptCount val="6"/>
                <c:pt idx="0">
                  <c:v>under 190 kg</c:v>
                </c:pt>
                <c:pt idx="1">
                  <c:v>190-199.9</c:v>
                </c:pt>
                <c:pt idx="2">
                  <c:v>200-209.9</c:v>
                </c:pt>
                <c:pt idx="3">
                  <c:v>210-219.9</c:v>
                </c:pt>
                <c:pt idx="4">
                  <c:v>220-239.9</c:v>
                </c:pt>
                <c:pt idx="5">
                  <c:v>240 kg and over</c:v>
                </c:pt>
              </c:strCache>
            </c:strRef>
          </c:cat>
          <c:val>
            <c:numRef>
              <c:f>'Car Specs Analysis'!$E$21:$E$26</c:f>
              <c:numCache>
                <c:formatCode>General</c:formatCode>
                <c:ptCount val="6"/>
                <c:pt idx="0">
                  <c:v>360.8</c:v>
                </c:pt>
                <c:pt idx="1">
                  <c:v>297.9</c:v>
                </c:pt>
                <c:pt idx="2">
                  <c:v>318.6</c:v>
                </c:pt>
                <c:pt idx="3">
                  <c:v>292.6</c:v>
                </c:pt>
                <c:pt idx="4">
                  <c:v>333.7</c:v>
                </c:pt>
                <c:pt idx="5">
                  <c:v>168.7</c:v>
                </c:pt>
              </c:numCache>
            </c:numRef>
          </c:val>
        </c:ser>
        <c:gapWidth val="150"/>
        <c:overlap val="0"/>
        <c:axId val="55624458"/>
        <c:axId val="84058251"/>
      </c:barChart>
      <c:catAx>
        <c:axId val="5562445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058251"/>
        <c:crosses val="autoZero"/>
        <c:auto val="1"/>
        <c:lblAlgn val="ctr"/>
        <c:lblOffset val="100"/>
        <c:noMultiLvlLbl val="0"/>
      </c:catAx>
      <c:valAx>
        <c:axId val="840582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total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62445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Avg total score by voltage bracket</a:t>
            </a:r>
          </a:p>
        </c:rich>
      </c:tx>
      <c:overlay val="0"/>
      <c:spPr>
        <a:noFill/>
        <a:ln w="0">
          <a:noFill/>
        </a:ln>
      </c:spPr>
    </c:title>
    <c:autoTitleDeleted val="0"/>
    <c:plotArea>
      <c:barChart>
        <c:barDir val="col"/>
        <c:grouping val="clustered"/>
        <c:varyColors val="0"/>
        <c:ser>
          <c:idx val="0"/>
          <c:order val="0"/>
          <c:tx>
            <c:strRef>
              <c:f>"2023 avg"</c:f>
              <c:strCache>
                <c:ptCount val="1"/>
                <c:pt idx="0">
                  <c:v>2023 avg</c:v>
                </c:pt>
              </c:strCache>
            </c:strRef>
          </c:tx>
          <c:spPr>
            <a:solidFill>
              <a:srgbClr val="9ca3af"/>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Analysis'!$A$30:$A$33</c:f>
              <c:strCache>
                <c:ptCount val="4"/>
                <c:pt idx="0">
                  <c:v>under 400 V</c:v>
                </c:pt>
                <c:pt idx="1">
                  <c:v>400-499 V</c:v>
                </c:pt>
                <c:pt idx="2">
                  <c:v>500-599 V</c:v>
                </c:pt>
                <c:pt idx="3">
                  <c:v>600 V and over</c:v>
                </c:pt>
              </c:strCache>
            </c:strRef>
          </c:cat>
          <c:val>
            <c:numRef>
              <c:f>'Car Specs Analysis'!$B$30:$B$33</c:f>
              <c:numCache>
                <c:formatCode>General</c:formatCode>
                <c:ptCount val="4"/>
                <c:pt idx="0">
                  <c:v>266.6</c:v>
                </c:pt>
                <c:pt idx="1">
                  <c:v>214.6</c:v>
                </c:pt>
                <c:pt idx="2">
                  <c:v>373</c:v>
                </c:pt>
                <c:pt idx="3">
                  <c:v>385.7</c:v>
                </c:pt>
              </c:numCache>
            </c:numRef>
          </c:val>
        </c:ser>
        <c:ser>
          <c:idx val="1"/>
          <c:order val="1"/>
          <c:tx>
            <c:strRef>
              <c:f>"2024 avg"</c:f>
              <c:strCache>
                <c:ptCount val="1"/>
                <c:pt idx="0">
                  <c:v>2024 avg</c:v>
                </c:pt>
              </c:strCache>
            </c:strRef>
          </c:tx>
          <c:spPr>
            <a:solidFill>
              <a:srgbClr val="f2b705"/>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Analysis'!$A$30:$A$33</c:f>
              <c:strCache>
                <c:ptCount val="4"/>
                <c:pt idx="0">
                  <c:v>under 400 V</c:v>
                </c:pt>
                <c:pt idx="1">
                  <c:v>400-499 V</c:v>
                </c:pt>
                <c:pt idx="2">
                  <c:v>500-599 V</c:v>
                </c:pt>
                <c:pt idx="3">
                  <c:v>600 V and over</c:v>
                </c:pt>
              </c:strCache>
            </c:strRef>
          </c:cat>
          <c:val>
            <c:numRef>
              <c:f>'Car Specs Analysis'!$C$30:$C$33</c:f>
              <c:numCache>
                <c:formatCode>General</c:formatCode>
                <c:ptCount val="4"/>
                <c:pt idx="0">
                  <c:v>377.4</c:v>
                </c:pt>
                <c:pt idx="1">
                  <c:v>312.8</c:v>
                </c:pt>
                <c:pt idx="2">
                  <c:v>300.5</c:v>
                </c:pt>
                <c:pt idx="3">
                  <c:v>405.5</c:v>
                </c:pt>
              </c:numCache>
            </c:numRef>
          </c:val>
        </c:ser>
        <c:ser>
          <c:idx val="2"/>
          <c:order val="2"/>
          <c:tx>
            <c:strRef>
              <c:f>"2025 avg"</c:f>
              <c:strCache>
                <c:ptCount val="1"/>
                <c:pt idx="0">
                  <c:v>2025 avg</c:v>
                </c:pt>
              </c:strCache>
            </c:strRef>
          </c:tx>
          <c:spPr>
            <a:solidFill>
              <a:srgbClr val="6b7280"/>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Analysis'!$A$30:$A$33</c:f>
              <c:strCache>
                <c:ptCount val="4"/>
                <c:pt idx="0">
                  <c:v>under 400 V</c:v>
                </c:pt>
                <c:pt idx="1">
                  <c:v>400-499 V</c:v>
                </c:pt>
                <c:pt idx="2">
                  <c:v>500-599 V</c:v>
                </c:pt>
                <c:pt idx="3">
                  <c:v>600 V and over</c:v>
                </c:pt>
              </c:strCache>
            </c:strRef>
          </c:cat>
          <c:val>
            <c:numRef>
              <c:f>'Car Specs Analysis'!$D$30:$D$33</c:f>
              <c:numCache>
                <c:formatCode>General</c:formatCode>
                <c:ptCount val="4"/>
                <c:pt idx="0">
                  <c:v>318.2</c:v>
                </c:pt>
                <c:pt idx="1">
                  <c:v>263.5</c:v>
                </c:pt>
                <c:pt idx="2">
                  <c:v>259</c:v>
                </c:pt>
                <c:pt idx="3">
                  <c:v>305.4</c:v>
                </c:pt>
              </c:numCache>
            </c:numRef>
          </c:val>
        </c:ser>
        <c:ser>
          <c:idx val="3"/>
          <c:order val="3"/>
          <c:tx>
            <c:strRef>
              <c:f>"2026 avg"</c:f>
              <c:strCache>
                <c:ptCount val="1"/>
                <c:pt idx="0">
                  <c:v>2026 avg</c:v>
                </c:pt>
              </c:strCache>
            </c:strRef>
          </c:tx>
          <c:spPr>
            <a:solidFill>
              <a:srgbClr val="c8102e"/>
            </a:solidFill>
            <a:ln w="0">
              <a:noFill/>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 Specs Analysis'!$A$30:$A$33</c:f>
              <c:strCache>
                <c:ptCount val="4"/>
                <c:pt idx="0">
                  <c:v>under 400 V</c:v>
                </c:pt>
                <c:pt idx="1">
                  <c:v>400-499 V</c:v>
                </c:pt>
                <c:pt idx="2">
                  <c:v>500-599 V</c:v>
                </c:pt>
                <c:pt idx="3">
                  <c:v>600 V and over</c:v>
                </c:pt>
              </c:strCache>
            </c:strRef>
          </c:cat>
          <c:val>
            <c:numRef>
              <c:f>'Car Specs Analysis'!$E$30:$E$33</c:f>
              <c:numCache>
                <c:formatCode>General</c:formatCode>
                <c:ptCount val="4"/>
                <c:pt idx="0">
                  <c:v>208</c:v>
                </c:pt>
                <c:pt idx="1">
                  <c:v>275.4</c:v>
                </c:pt>
                <c:pt idx="2">
                  <c:v>342.8</c:v>
                </c:pt>
                <c:pt idx="3">
                  <c:v>387</c:v>
                </c:pt>
              </c:numCache>
            </c:numRef>
          </c:val>
        </c:ser>
        <c:gapWidth val="150"/>
        <c:overlap val="0"/>
        <c:axId val="69322418"/>
        <c:axId val="28480273"/>
      </c:barChart>
      <c:catAx>
        <c:axId val="6932241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480273"/>
        <c:crosses val="autoZero"/>
        <c:auto val="1"/>
        <c:lblAlgn val="ctr"/>
        <c:lblOffset val="100"/>
        <c:noMultiLvlLbl val="0"/>
      </c:catAx>
      <c:valAx>
        <c:axId val="284802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total</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3224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Weight vs total score (each dot = one team)</a:t>
            </a:r>
          </a:p>
        </c:rich>
      </c:tx>
      <c:overlay val="0"/>
      <c:spPr>
        <a:noFill/>
        <a:ln w="0">
          <a:noFill/>
        </a:ln>
      </c:spPr>
    </c:title>
    <c:autoTitleDeleted val="0"/>
    <c:plotArea>
      <c:scatterChart>
        <c:scatterStyle val="lineMarker"/>
        <c:varyColors val="0"/>
        <c:ser>
          <c:idx val="0"/>
          <c:order val="0"/>
          <c:tx>
            <c:strRef>
              <c:f>"2023"</c:f>
              <c:strCache>
                <c:ptCount val="1"/>
                <c:pt idx="0">
                  <c:v>2023</c:v>
                </c:pt>
              </c:strCache>
            </c:strRef>
          </c:tx>
          <c:spPr>
            <a:solidFill>
              <a:srgbClr val="9ca3af"/>
            </a:solidFill>
            <a:ln w="47520">
              <a:noFill/>
            </a:ln>
          </c:spPr>
          <c:marker>
            <c:symbol val="circle"/>
            <c:size val="6"/>
            <c:spPr>
              <a:solidFill>
                <a:srgbClr val="9ca3af"/>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'Car Specs Data'!$F$5:$F$65</c:f>
              <c:numCache>
                <c:formatCode>General</c:formatCode>
                <c:ptCount val="61"/>
                <c:pt idx="0">
                  <c:v>179.2</c:v>
                </c:pt>
                <c:pt idx="1">
                  <c:v>218.2</c:v>
                </c:pt>
                <c:pt idx="2">
                  <c:v>215</c:v>
                </c:pt>
                <c:pt idx="3">
                  <c:v>202.3</c:v>
                </c:pt>
                <c:pt idx="4">
                  <c:v>259</c:v>
                </c:pt>
                <c:pt idx="5">
                  <c:v>206.4</c:v>
                </c:pt>
                <c:pt idx="6">
                  <c:v>203.2</c:v>
                </c:pt>
                <c:pt idx="7">
                  <c:v>237.7</c:v>
                </c:pt>
                <c:pt idx="8">
                  <c:v>197.8</c:v>
                </c:pt>
                <c:pt idx="9">
                  <c:v>198.7</c:v>
                </c:pt>
                <c:pt idx="10">
                  <c:v>202.8</c:v>
                </c:pt>
                <c:pt idx="11">
                  <c:v>218.2</c:v>
                </c:pt>
                <c:pt idx="12">
                  <c:v>243.1</c:v>
                </c:pt>
                <c:pt idx="13">
                  <c:v>196.9</c:v>
                </c:pt>
                <c:pt idx="14">
                  <c:v>209.6</c:v>
                </c:pt>
                <c:pt idx="15">
                  <c:v>218.6</c:v>
                </c:pt>
                <c:pt idx="16">
                  <c:v>190.5</c:v>
                </c:pt>
                <c:pt idx="17">
                  <c:v>231.8</c:v>
                </c:pt>
                <c:pt idx="18">
                  <c:v>187</c:v>
                </c:pt>
                <c:pt idx="19">
                  <c:v>254.5</c:v>
                </c:pt>
                <c:pt idx="20">
                  <c:v>224.1</c:v>
                </c:pt>
                <c:pt idx="21">
                  <c:v>208.7</c:v>
                </c:pt>
                <c:pt idx="22">
                  <c:v>205.9</c:v>
                </c:pt>
                <c:pt idx="23">
                  <c:v>222.3</c:v>
                </c:pt>
                <c:pt idx="24">
                  <c:v>208.7</c:v>
                </c:pt>
                <c:pt idx="25">
                  <c:v>180.1</c:v>
                </c:pt>
                <c:pt idx="26">
                  <c:v>183.4</c:v>
                </c:pt>
                <c:pt idx="27">
                  <c:v>239.5</c:v>
                </c:pt>
                <c:pt idx="28">
                  <c:v>238.1</c:v>
                </c:pt>
                <c:pt idx="29">
                  <c:v>240</c:v>
                </c:pt>
                <c:pt idx="30">
                  <c:v>275.8</c:v>
                </c:pt>
                <c:pt idx="31">
                  <c:v>256.5</c:v>
                </c:pt>
                <c:pt idx="32">
                  <c:v>214.5</c:v>
                </c:pt>
                <c:pt idx="33">
                  <c:v>232.7</c:v>
                </c:pt>
                <c:pt idx="34">
                  <c:v>235.9</c:v>
                </c:pt>
                <c:pt idx="35">
                  <c:v>246.7</c:v>
                </c:pt>
                <c:pt idx="36">
                  <c:v>271.7</c:v>
                </c:pt>
                <c:pt idx="37">
                  <c:v>242.2</c:v>
                </c:pt>
                <c:pt idx="38">
                  <c:v>224.3</c:v>
                </c:pt>
                <c:pt idx="39">
                  <c:v>245.4</c:v>
                </c:pt>
                <c:pt idx="40">
                  <c:v>232.7</c:v>
                </c:pt>
                <c:pt idx="41">
                  <c:v>197.8</c:v>
                </c:pt>
                <c:pt idx="42">
                  <c:v>244.9</c:v>
                </c:pt>
                <c:pt idx="43">
                  <c:v>227.2</c:v>
                </c:pt>
                <c:pt idx="44">
                  <c:v>248.9</c:v>
                </c:pt>
                <c:pt idx="45">
                  <c:v>212.3</c:v>
                </c:pt>
                <c:pt idx="46">
                  <c:v>483.5</c:v>
                </c:pt>
                <c:pt idx="47">
                  <c:v>207.7</c:v>
                </c:pt>
                <c:pt idx="48">
                  <c:v>223.6</c:v>
                </c:pt>
                <c:pt idx="49">
                  <c:v>192.8</c:v>
                </c:pt>
                <c:pt idx="50">
                  <c:v>222.3</c:v>
                </c:pt>
                <c:pt idx="51">
                  <c:v>155.1</c:v>
                </c:pt>
                <c:pt idx="52">
                  <c:v>306.2</c:v>
                </c:pt>
                <c:pt idx="53">
                  <c:v>164.7</c:v>
                </c:pt>
                <c:pt idx="54">
                  <c:v>229.1</c:v>
                </c:pt>
                <c:pt idx="55">
                  <c:v>192.3</c:v>
                </c:pt>
                <c:pt idx="56">
                  <c:v>226.8</c:v>
                </c:pt>
                <c:pt idx="57">
                  <c:v>138.8</c:v>
                </c:pt>
                <c:pt idx="58">
                  <c:v>192.8</c:v>
                </c:pt>
                <c:pt idx="59">
                  <c:v>234.5</c:v>
                </c:pt>
                <c:pt idx="60">
                  <c:v>247.2</c:v>
                </c:pt>
              </c:numCache>
            </c:numRef>
          </c:xVal>
          <c:yVal>
            <c:numRef>
              <c:f>'Car Specs Data'!$H$5:$H$65</c:f>
              <c:numCache>
                <c:formatCode>General</c:formatCode>
                <c:ptCount val="61"/>
                <c:pt idx="0">
                  <c:v>919.1</c:v>
                </c:pt>
                <c:pt idx="1">
                  <c:v>762.4</c:v>
                </c:pt>
                <c:pt idx="2">
                  <c:v>734.4</c:v>
                </c:pt>
                <c:pt idx="3">
                  <c:v>728.3</c:v>
                </c:pt>
                <c:pt idx="4">
                  <c:v>716.5</c:v>
                </c:pt>
                <c:pt idx="5">
                  <c:v>622.4</c:v>
                </c:pt>
                <c:pt idx="6">
                  <c:v>611.2</c:v>
                </c:pt>
                <c:pt idx="7">
                  <c:v>588.4</c:v>
                </c:pt>
                <c:pt idx="8">
                  <c:v>575.8</c:v>
                </c:pt>
                <c:pt idx="9">
                  <c:v>545.1</c:v>
                </c:pt>
                <c:pt idx="10">
                  <c:v>494.7</c:v>
                </c:pt>
                <c:pt idx="11">
                  <c:v>491.8</c:v>
                </c:pt>
                <c:pt idx="12">
                  <c:v>420.1</c:v>
                </c:pt>
                <c:pt idx="13">
                  <c:v>408.4</c:v>
                </c:pt>
                <c:pt idx="14">
                  <c:v>362.8</c:v>
                </c:pt>
                <c:pt idx="15">
                  <c:v>360.3</c:v>
                </c:pt>
                <c:pt idx="16">
                  <c:v>340.9</c:v>
                </c:pt>
                <c:pt idx="17">
                  <c:v>335.4</c:v>
                </c:pt>
                <c:pt idx="18">
                  <c:v>323.9</c:v>
                </c:pt>
                <c:pt idx="19">
                  <c:v>318.8</c:v>
                </c:pt>
                <c:pt idx="20">
                  <c:v>287.3</c:v>
                </c:pt>
                <c:pt idx="21">
                  <c:v>275.2</c:v>
                </c:pt>
                <c:pt idx="22">
                  <c:v>254.8</c:v>
                </c:pt>
                <c:pt idx="23">
                  <c:v>240.3</c:v>
                </c:pt>
                <c:pt idx="24">
                  <c:v>218.7</c:v>
                </c:pt>
                <c:pt idx="25">
                  <c:v>208</c:v>
                </c:pt>
                <c:pt idx="26">
                  <c:v>205.3</c:v>
                </c:pt>
                <c:pt idx="27">
                  <c:v>202.7</c:v>
                </c:pt>
                <c:pt idx="28">
                  <c:v>200.4</c:v>
                </c:pt>
                <c:pt idx="29">
                  <c:v>198.5</c:v>
                </c:pt>
                <c:pt idx="30">
                  <c:v>190.6</c:v>
                </c:pt>
                <c:pt idx="31">
                  <c:v>188</c:v>
                </c:pt>
                <c:pt idx="32">
                  <c:v>183.5</c:v>
                </c:pt>
                <c:pt idx="33">
                  <c:v>180.8</c:v>
                </c:pt>
                <c:pt idx="34">
                  <c:v>176.1</c:v>
                </c:pt>
                <c:pt idx="35">
                  <c:v>170.2</c:v>
                </c:pt>
                <c:pt idx="36">
                  <c:v>167.7</c:v>
                </c:pt>
                <c:pt idx="37">
                  <c:v>161.2</c:v>
                </c:pt>
                <c:pt idx="38">
                  <c:v>157.2</c:v>
                </c:pt>
                <c:pt idx="39">
                  <c:v>156.2</c:v>
                </c:pt>
                <c:pt idx="40">
                  <c:v>154.6</c:v>
                </c:pt>
                <c:pt idx="41">
                  <c:v>152.9</c:v>
                </c:pt>
                <c:pt idx="42">
                  <c:v>151.9</c:v>
                </c:pt>
                <c:pt idx="43">
                  <c:v>147.7</c:v>
                </c:pt>
                <c:pt idx="44">
                  <c:v>145.2</c:v>
                </c:pt>
                <c:pt idx="45">
                  <c:v>141.8</c:v>
                </c:pt>
                <c:pt idx="46">
                  <c:v>141.5</c:v>
                </c:pt>
                <c:pt idx="47">
                  <c:v>134.7</c:v>
                </c:pt>
                <c:pt idx="48">
                  <c:v>131.8</c:v>
                </c:pt>
                <c:pt idx="49">
                  <c:v>127.5</c:v>
                </c:pt>
                <c:pt idx="50">
                  <c:v>122.4</c:v>
                </c:pt>
                <c:pt idx="51">
                  <c:v>115.5</c:v>
                </c:pt>
                <c:pt idx="52">
                  <c:v>106</c:v>
                </c:pt>
                <c:pt idx="53">
                  <c:v>105</c:v>
                </c:pt>
                <c:pt idx="54">
                  <c:v>104</c:v>
                </c:pt>
                <c:pt idx="55">
                  <c:v>102.4</c:v>
                </c:pt>
                <c:pt idx="56">
                  <c:v>99.1</c:v>
                </c:pt>
                <c:pt idx="57">
                  <c:v>95.5</c:v>
                </c:pt>
                <c:pt idx="58">
                  <c:v>78.7</c:v>
                </c:pt>
                <c:pt idx="59">
                  <c:v>68.3</c:v>
                </c:pt>
                <c:pt idx="60">
                  <c:v>36.4</c:v>
                </c:pt>
              </c:numCache>
            </c:numRef>
          </c:yVal>
          <c:smooth val="1"/>
        </c:ser>
        <c:ser>
          <c:idx val="1"/>
          <c:order val="1"/>
          <c:tx>
            <c:strRef>
              <c:f>"2024"</c:f>
              <c:strCache>
                <c:ptCount val="1"/>
                <c:pt idx="0">
                  <c:v>2024</c:v>
                </c:pt>
              </c:strCache>
            </c:strRef>
          </c:tx>
          <c:spPr>
            <a:solidFill>
              <a:srgbClr val="f2b705"/>
            </a:solidFill>
            <a:ln w="47520">
              <a:noFill/>
            </a:ln>
          </c:spPr>
          <c:marker>
            <c:symbol val="circle"/>
            <c:size val="6"/>
            <c:spPr>
              <a:solidFill>
                <a:srgbClr val="f2b705"/>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'Car Specs Data'!$F$66:$F$131</c:f>
              <c:numCache>
                <c:formatCode>General</c:formatCode>
                <c:ptCount val="66"/>
                <c:pt idx="0">
                  <c:v>203.2</c:v>
                </c:pt>
                <c:pt idx="1">
                  <c:v>206.8</c:v>
                </c:pt>
                <c:pt idx="2">
                  <c:v>191</c:v>
                </c:pt>
                <c:pt idx="3">
                  <c:v>188.7</c:v>
                </c:pt>
                <c:pt idx="4">
                  <c:v>202.8</c:v>
                </c:pt>
                <c:pt idx="5">
                  <c:v>206.8</c:v>
                </c:pt>
                <c:pt idx="6">
                  <c:v>209.6</c:v>
                </c:pt>
                <c:pt idx="7">
                  <c:v>203.2</c:v>
                </c:pt>
                <c:pt idx="8">
                  <c:v>244.9</c:v>
                </c:pt>
                <c:pt idx="9">
                  <c:v>243.1</c:v>
                </c:pt>
                <c:pt idx="10">
                  <c:v>217.3</c:v>
                </c:pt>
                <c:pt idx="11">
                  <c:v>213.2</c:v>
                </c:pt>
                <c:pt idx="12">
                  <c:v>201.4</c:v>
                </c:pt>
                <c:pt idx="13">
                  <c:v>264</c:v>
                </c:pt>
                <c:pt idx="14">
                  <c:v>202.8</c:v>
                </c:pt>
                <c:pt idx="15">
                  <c:v>181</c:v>
                </c:pt>
                <c:pt idx="16">
                  <c:v>185.1</c:v>
                </c:pt>
                <c:pt idx="17">
                  <c:v>193.2</c:v>
                </c:pt>
                <c:pt idx="18">
                  <c:v>230</c:v>
                </c:pt>
                <c:pt idx="19">
                  <c:v>216.4</c:v>
                </c:pt>
                <c:pt idx="20">
                  <c:v>202.8</c:v>
                </c:pt>
                <c:pt idx="21">
                  <c:v>220</c:v>
                </c:pt>
                <c:pt idx="22">
                  <c:v>198.2</c:v>
                </c:pt>
                <c:pt idx="23">
                  <c:v>264.9</c:v>
                </c:pt>
                <c:pt idx="24">
                  <c:v>249.9</c:v>
                </c:pt>
                <c:pt idx="25">
                  <c:v>224.1</c:v>
                </c:pt>
                <c:pt idx="26">
                  <c:v>187.8</c:v>
                </c:pt>
                <c:pt idx="27">
                  <c:v>264</c:v>
                </c:pt>
                <c:pt idx="28">
                  <c:v>195.5</c:v>
                </c:pt>
                <c:pt idx="29">
                  <c:v>240</c:v>
                </c:pt>
                <c:pt idx="30">
                  <c:v>230</c:v>
                </c:pt>
                <c:pt idx="31">
                  <c:v>219.1</c:v>
                </c:pt>
                <c:pt idx="32">
                  <c:v>250.4</c:v>
                </c:pt>
                <c:pt idx="33">
                  <c:v>219.6</c:v>
                </c:pt>
                <c:pt idx="34">
                  <c:v>212.3</c:v>
                </c:pt>
                <c:pt idx="35">
                  <c:v>213.5</c:v>
                </c:pt>
                <c:pt idx="36">
                  <c:v>233.5</c:v>
                </c:pt>
                <c:pt idx="37">
                  <c:v>286.2</c:v>
                </c:pt>
                <c:pt idx="38">
                  <c:v>239.5</c:v>
                </c:pt>
                <c:pt idx="39">
                  <c:v>215.5</c:v>
                </c:pt>
                <c:pt idx="40">
                  <c:v>244</c:v>
                </c:pt>
                <c:pt idx="41">
                  <c:v>176</c:v>
                </c:pt>
                <c:pt idx="42">
                  <c:v>207.3</c:v>
                </c:pt>
                <c:pt idx="43">
                  <c:v>264</c:v>
                </c:pt>
                <c:pt idx="44">
                  <c:v>228.4</c:v>
                </c:pt>
                <c:pt idx="45">
                  <c:v>235.3</c:v>
                </c:pt>
                <c:pt idx="46">
                  <c:v>171.8</c:v>
                </c:pt>
                <c:pt idx="47">
                  <c:v>239.4</c:v>
                </c:pt>
                <c:pt idx="48">
                  <c:v>239.5</c:v>
                </c:pt>
                <c:pt idx="49">
                  <c:v>229.5</c:v>
                </c:pt>
                <c:pt idx="50">
                  <c:v>262.8</c:v>
                </c:pt>
                <c:pt idx="51">
                  <c:v>259.5</c:v>
                </c:pt>
                <c:pt idx="52">
                  <c:v>248.6</c:v>
                </c:pt>
                <c:pt idx="53">
                  <c:v>218.2</c:v>
                </c:pt>
                <c:pt idx="54">
                  <c:v>208.2</c:v>
                </c:pt>
                <c:pt idx="55">
                  <c:v>247.2</c:v>
                </c:pt>
                <c:pt idx="56">
                  <c:v>251.4</c:v>
                </c:pt>
                <c:pt idx="57">
                  <c:v>250.8</c:v>
                </c:pt>
                <c:pt idx="58">
                  <c:v>236.8</c:v>
                </c:pt>
                <c:pt idx="59">
                  <c:v>230.4</c:v>
                </c:pt>
                <c:pt idx="60">
                  <c:v>297.4</c:v>
                </c:pt>
                <c:pt idx="61">
                  <c:v>292.7</c:v>
                </c:pt>
                <c:pt idx="62">
                  <c:v>247.3</c:v>
                </c:pt>
                <c:pt idx="63">
                  <c:v>197.8</c:v>
                </c:pt>
                <c:pt idx="64">
                  <c:v>256.6</c:v>
                </c:pt>
                <c:pt idx="65">
                  <c:v>188.2</c:v>
                </c:pt>
              </c:numCache>
            </c:numRef>
          </c:xVal>
          <c:yVal>
            <c:numRef>
              <c:f>'Car Specs Data'!$H$66:$H$131</c:f>
              <c:numCache>
                <c:formatCode>General</c:formatCode>
                <c:ptCount val="66"/>
                <c:pt idx="0">
                  <c:v>760.6</c:v>
                </c:pt>
                <c:pt idx="1">
                  <c:v>757.8</c:v>
                </c:pt>
                <c:pt idx="2">
                  <c:v>754.1</c:v>
                </c:pt>
                <c:pt idx="3">
                  <c:v>751.7</c:v>
                </c:pt>
                <c:pt idx="4">
                  <c:v>724.3</c:v>
                </c:pt>
                <c:pt idx="5">
                  <c:v>711.9</c:v>
                </c:pt>
                <c:pt idx="6">
                  <c:v>700</c:v>
                </c:pt>
                <c:pt idx="7">
                  <c:v>687.6</c:v>
                </c:pt>
                <c:pt idx="8">
                  <c:v>682.7</c:v>
                </c:pt>
                <c:pt idx="9">
                  <c:v>682.7</c:v>
                </c:pt>
                <c:pt idx="10">
                  <c:v>681.9</c:v>
                </c:pt>
                <c:pt idx="11">
                  <c:v>647.5</c:v>
                </c:pt>
                <c:pt idx="12">
                  <c:v>627.9</c:v>
                </c:pt>
                <c:pt idx="13">
                  <c:v>589.9</c:v>
                </c:pt>
                <c:pt idx="14">
                  <c:v>568.7</c:v>
                </c:pt>
                <c:pt idx="15">
                  <c:v>524.6</c:v>
                </c:pt>
                <c:pt idx="16">
                  <c:v>524.1</c:v>
                </c:pt>
                <c:pt idx="17">
                  <c:v>520.7</c:v>
                </c:pt>
                <c:pt idx="18">
                  <c:v>496.6</c:v>
                </c:pt>
                <c:pt idx="19">
                  <c:v>470.6</c:v>
                </c:pt>
                <c:pt idx="20">
                  <c:v>450.7</c:v>
                </c:pt>
                <c:pt idx="21">
                  <c:v>391.3</c:v>
                </c:pt>
                <c:pt idx="22">
                  <c:v>391</c:v>
                </c:pt>
                <c:pt idx="23">
                  <c:v>373.3</c:v>
                </c:pt>
                <c:pt idx="24">
                  <c:v>363.4</c:v>
                </c:pt>
                <c:pt idx="25">
                  <c:v>356.1</c:v>
                </c:pt>
                <c:pt idx="26">
                  <c:v>355.2</c:v>
                </c:pt>
                <c:pt idx="27">
                  <c:v>355.1</c:v>
                </c:pt>
                <c:pt idx="28">
                  <c:v>299.3</c:v>
                </c:pt>
                <c:pt idx="29">
                  <c:v>297.7</c:v>
                </c:pt>
                <c:pt idx="30">
                  <c:v>296.8</c:v>
                </c:pt>
                <c:pt idx="31">
                  <c:v>278.1</c:v>
                </c:pt>
                <c:pt idx="32">
                  <c:v>241.4</c:v>
                </c:pt>
                <c:pt idx="33">
                  <c:v>234.6</c:v>
                </c:pt>
                <c:pt idx="34">
                  <c:v>230.2</c:v>
                </c:pt>
                <c:pt idx="35">
                  <c:v>207.5</c:v>
                </c:pt>
                <c:pt idx="36">
                  <c:v>202</c:v>
                </c:pt>
                <c:pt idx="37">
                  <c:v>199.2</c:v>
                </c:pt>
                <c:pt idx="38">
                  <c:v>196.1</c:v>
                </c:pt>
                <c:pt idx="39">
                  <c:v>194.7</c:v>
                </c:pt>
                <c:pt idx="40">
                  <c:v>176</c:v>
                </c:pt>
                <c:pt idx="41">
                  <c:v>175.8</c:v>
                </c:pt>
                <c:pt idx="42">
                  <c:v>175.6</c:v>
                </c:pt>
                <c:pt idx="43">
                  <c:v>171</c:v>
                </c:pt>
                <c:pt idx="44">
                  <c:v>169.3</c:v>
                </c:pt>
                <c:pt idx="45">
                  <c:v>166</c:v>
                </c:pt>
                <c:pt idx="46">
                  <c:v>163.7</c:v>
                </c:pt>
                <c:pt idx="47">
                  <c:v>154.9</c:v>
                </c:pt>
                <c:pt idx="48">
                  <c:v>151.8</c:v>
                </c:pt>
                <c:pt idx="49">
                  <c:v>151.4</c:v>
                </c:pt>
                <c:pt idx="50">
                  <c:v>149.5</c:v>
                </c:pt>
                <c:pt idx="51">
                  <c:v>148.7</c:v>
                </c:pt>
                <c:pt idx="52">
                  <c:v>145.6</c:v>
                </c:pt>
                <c:pt idx="53">
                  <c:v>144.9</c:v>
                </c:pt>
                <c:pt idx="54">
                  <c:v>140.5</c:v>
                </c:pt>
                <c:pt idx="55">
                  <c:v>137.2</c:v>
                </c:pt>
                <c:pt idx="56">
                  <c:v>134.9</c:v>
                </c:pt>
                <c:pt idx="57">
                  <c:v>133.6</c:v>
                </c:pt>
                <c:pt idx="58">
                  <c:v>126.9</c:v>
                </c:pt>
                <c:pt idx="59">
                  <c:v>126.4</c:v>
                </c:pt>
                <c:pt idx="60">
                  <c:v>116.7</c:v>
                </c:pt>
                <c:pt idx="61">
                  <c:v>116.5</c:v>
                </c:pt>
                <c:pt idx="62">
                  <c:v>108</c:v>
                </c:pt>
                <c:pt idx="63">
                  <c:v>106.9</c:v>
                </c:pt>
                <c:pt idx="64">
                  <c:v>56.6</c:v>
                </c:pt>
                <c:pt idx="65">
                  <c:v>52</c:v>
                </c:pt>
              </c:numCache>
            </c:numRef>
          </c:yVal>
          <c:smooth val="1"/>
        </c:ser>
        <c:ser>
          <c:idx val="2"/>
          <c:order val="2"/>
          <c:tx>
            <c:strRef>
              <c:f>"2025"</c:f>
              <c:strCache>
                <c:ptCount val="1"/>
                <c:pt idx="0">
                  <c:v>2025</c:v>
                </c:pt>
              </c:strCache>
            </c:strRef>
          </c:tx>
          <c:spPr>
            <a:solidFill>
              <a:srgbClr val="6b7280"/>
            </a:solidFill>
            <a:ln w="47520">
              <a:noFill/>
            </a:ln>
          </c:spPr>
          <c:marker>
            <c:symbol val="circle"/>
            <c:size val="6"/>
            <c:spPr>
              <a:solidFill>
                <a:srgbClr val="6b7280"/>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'Car Specs Data'!$F$132:$F$205</c:f>
              <c:numCache>
                <c:formatCode>General</c:formatCode>
                <c:ptCount val="74"/>
                <c:pt idx="0">
                  <c:v>220.4</c:v>
                </c:pt>
                <c:pt idx="1">
                  <c:v>205.5</c:v>
                </c:pt>
                <c:pt idx="2">
                  <c:v>191.9</c:v>
                </c:pt>
                <c:pt idx="3">
                  <c:v>200.9</c:v>
                </c:pt>
                <c:pt idx="4">
                  <c:v>210</c:v>
                </c:pt>
                <c:pt idx="5">
                  <c:v>204.1</c:v>
                </c:pt>
                <c:pt idx="6">
                  <c:v>199.6</c:v>
                </c:pt>
                <c:pt idx="7">
                  <c:v>204.1</c:v>
                </c:pt>
                <c:pt idx="8">
                  <c:v>232.7</c:v>
                </c:pt>
                <c:pt idx="9">
                  <c:v>225</c:v>
                </c:pt>
                <c:pt idx="10">
                  <c:v>217.3</c:v>
                </c:pt>
                <c:pt idx="11">
                  <c:v>167.4</c:v>
                </c:pt>
                <c:pt idx="12">
                  <c:v>210</c:v>
                </c:pt>
                <c:pt idx="13">
                  <c:v>220</c:v>
                </c:pt>
                <c:pt idx="14">
                  <c:v>252.7</c:v>
                </c:pt>
                <c:pt idx="15">
                  <c:v>201.8</c:v>
                </c:pt>
                <c:pt idx="16">
                  <c:v>239.5</c:v>
                </c:pt>
                <c:pt idx="17">
                  <c:v>221.4</c:v>
                </c:pt>
                <c:pt idx="18">
                  <c:v>192.8</c:v>
                </c:pt>
                <c:pt idx="19">
                  <c:v>219.5</c:v>
                </c:pt>
                <c:pt idx="20">
                  <c:v>243.6</c:v>
                </c:pt>
                <c:pt idx="21">
                  <c:v>210</c:v>
                </c:pt>
                <c:pt idx="22">
                  <c:v>219.1</c:v>
                </c:pt>
                <c:pt idx="23">
                  <c:v>260.4</c:v>
                </c:pt>
                <c:pt idx="24">
                  <c:v>229.6</c:v>
                </c:pt>
                <c:pt idx="25">
                  <c:v>193.5</c:v>
                </c:pt>
                <c:pt idx="26">
                  <c:v>280.3</c:v>
                </c:pt>
                <c:pt idx="27">
                  <c:v>184.2</c:v>
                </c:pt>
                <c:pt idx="28">
                  <c:v>219.1</c:v>
                </c:pt>
                <c:pt idx="29">
                  <c:v>219.5</c:v>
                </c:pt>
                <c:pt idx="30">
                  <c:v>240.6</c:v>
                </c:pt>
                <c:pt idx="31">
                  <c:v>198.3</c:v>
                </c:pt>
                <c:pt idx="32">
                  <c:v>207.7</c:v>
                </c:pt>
                <c:pt idx="33">
                  <c:v>265.3</c:v>
                </c:pt>
                <c:pt idx="34">
                  <c:v>210.7</c:v>
                </c:pt>
                <c:pt idx="35">
                  <c:v>201.4</c:v>
                </c:pt>
                <c:pt idx="36">
                  <c:v>217.3</c:v>
                </c:pt>
                <c:pt idx="37">
                  <c:v>246.8</c:v>
                </c:pt>
                <c:pt idx="38">
                  <c:v>242</c:v>
                </c:pt>
                <c:pt idx="39">
                  <c:v>228.6</c:v>
                </c:pt>
                <c:pt idx="40">
                  <c:v>228.2</c:v>
                </c:pt>
                <c:pt idx="41">
                  <c:v>230</c:v>
                </c:pt>
                <c:pt idx="42">
                  <c:v>189.6</c:v>
                </c:pt>
                <c:pt idx="43">
                  <c:v>219.6</c:v>
                </c:pt>
                <c:pt idx="44">
                  <c:v>227.7</c:v>
                </c:pt>
                <c:pt idx="45">
                  <c:v>212.7</c:v>
                </c:pt>
                <c:pt idx="46">
                  <c:v>239.3</c:v>
                </c:pt>
                <c:pt idx="47">
                  <c:v>227</c:v>
                </c:pt>
                <c:pt idx="48">
                  <c:v>216.8</c:v>
                </c:pt>
                <c:pt idx="49">
                  <c:v>181</c:v>
                </c:pt>
                <c:pt idx="50">
                  <c:v>250.4</c:v>
                </c:pt>
                <c:pt idx="51">
                  <c:v>238.1</c:v>
                </c:pt>
                <c:pt idx="52">
                  <c:v>227</c:v>
                </c:pt>
                <c:pt idx="53">
                  <c:v>257.2</c:v>
                </c:pt>
                <c:pt idx="54">
                  <c:v>228.2</c:v>
                </c:pt>
                <c:pt idx="55">
                  <c:v>235.3</c:v>
                </c:pt>
                <c:pt idx="56">
                  <c:v>216.5</c:v>
                </c:pt>
                <c:pt idx="57">
                  <c:v>201.4</c:v>
                </c:pt>
                <c:pt idx="58">
                  <c:v>237.9</c:v>
                </c:pt>
                <c:pt idx="59">
                  <c:v>236.1</c:v>
                </c:pt>
                <c:pt idx="60">
                  <c:v>236</c:v>
                </c:pt>
                <c:pt idx="61">
                  <c:v>235</c:v>
                </c:pt>
                <c:pt idx="62">
                  <c:v>261.5</c:v>
                </c:pt>
                <c:pt idx="63">
                  <c:v>239.4</c:v>
                </c:pt>
                <c:pt idx="64">
                  <c:v>293.2</c:v>
                </c:pt>
                <c:pt idx="65">
                  <c:v>224.7</c:v>
                </c:pt>
                <c:pt idx="66">
                  <c:v>214.2</c:v>
                </c:pt>
                <c:pt idx="67">
                  <c:v>236.4</c:v>
                </c:pt>
                <c:pt idx="68">
                  <c:v>292.7</c:v>
                </c:pt>
                <c:pt idx="69">
                  <c:v>280.1</c:v>
                </c:pt>
                <c:pt idx="70">
                  <c:v>253.1</c:v>
                </c:pt>
                <c:pt idx="71">
                  <c:v>255.7</c:v>
                </c:pt>
                <c:pt idx="72">
                  <c:v>279.9</c:v>
                </c:pt>
                <c:pt idx="73">
                  <c:v>251.9</c:v>
                </c:pt>
              </c:numCache>
            </c:numRef>
          </c:xVal>
          <c:yVal>
            <c:numRef>
              <c:f>'Car Specs Data'!$H$132:$H$205</c:f>
              <c:numCache>
                <c:formatCode>General</c:formatCode>
                <c:ptCount val="74"/>
                <c:pt idx="0">
                  <c:v>790.4</c:v>
                </c:pt>
                <c:pt idx="1">
                  <c:v>785.2</c:v>
                </c:pt>
                <c:pt idx="2">
                  <c:v>772.2</c:v>
                </c:pt>
                <c:pt idx="3">
                  <c:v>756.1</c:v>
                </c:pt>
                <c:pt idx="4">
                  <c:v>753.5</c:v>
                </c:pt>
                <c:pt idx="5">
                  <c:v>723.4</c:v>
                </c:pt>
                <c:pt idx="6">
                  <c:v>708.6</c:v>
                </c:pt>
                <c:pt idx="7">
                  <c:v>701.7</c:v>
                </c:pt>
                <c:pt idx="8">
                  <c:v>597.6</c:v>
                </c:pt>
                <c:pt idx="9">
                  <c:v>593</c:v>
                </c:pt>
                <c:pt idx="10">
                  <c:v>592.5</c:v>
                </c:pt>
                <c:pt idx="11">
                  <c:v>566.6</c:v>
                </c:pt>
                <c:pt idx="12">
                  <c:v>518</c:v>
                </c:pt>
                <c:pt idx="13">
                  <c:v>507.4</c:v>
                </c:pt>
                <c:pt idx="14">
                  <c:v>490.8</c:v>
                </c:pt>
                <c:pt idx="15">
                  <c:v>483.4</c:v>
                </c:pt>
                <c:pt idx="16">
                  <c:v>460.2</c:v>
                </c:pt>
                <c:pt idx="17">
                  <c:v>443.5</c:v>
                </c:pt>
                <c:pt idx="18">
                  <c:v>423</c:v>
                </c:pt>
                <c:pt idx="19">
                  <c:v>390.6</c:v>
                </c:pt>
                <c:pt idx="20">
                  <c:v>379.3</c:v>
                </c:pt>
                <c:pt idx="21">
                  <c:v>338</c:v>
                </c:pt>
                <c:pt idx="22">
                  <c:v>313.8</c:v>
                </c:pt>
                <c:pt idx="23">
                  <c:v>303.4</c:v>
                </c:pt>
                <c:pt idx="24">
                  <c:v>298.6</c:v>
                </c:pt>
                <c:pt idx="25">
                  <c:v>284.7</c:v>
                </c:pt>
                <c:pt idx="26">
                  <c:v>257.6</c:v>
                </c:pt>
                <c:pt idx="27">
                  <c:v>252.4</c:v>
                </c:pt>
                <c:pt idx="28">
                  <c:v>252.2</c:v>
                </c:pt>
                <c:pt idx="29">
                  <c:v>235.3</c:v>
                </c:pt>
                <c:pt idx="30">
                  <c:v>227.3</c:v>
                </c:pt>
                <c:pt idx="31">
                  <c:v>218.7</c:v>
                </c:pt>
                <c:pt idx="32">
                  <c:v>211.5</c:v>
                </c:pt>
                <c:pt idx="33">
                  <c:v>210.2</c:v>
                </c:pt>
                <c:pt idx="34">
                  <c:v>205.8</c:v>
                </c:pt>
                <c:pt idx="35">
                  <c:v>204.9</c:v>
                </c:pt>
                <c:pt idx="36">
                  <c:v>200.1</c:v>
                </c:pt>
                <c:pt idx="37">
                  <c:v>198.7</c:v>
                </c:pt>
                <c:pt idx="38">
                  <c:v>195.1</c:v>
                </c:pt>
                <c:pt idx="39">
                  <c:v>194.4</c:v>
                </c:pt>
                <c:pt idx="40">
                  <c:v>193.3</c:v>
                </c:pt>
                <c:pt idx="41">
                  <c:v>183.6</c:v>
                </c:pt>
                <c:pt idx="42">
                  <c:v>181.9</c:v>
                </c:pt>
                <c:pt idx="43">
                  <c:v>179.4</c:v>
                </c:pt>
                <c:pt idx="44">
                  <c:v>175.3</c:v>
                </c:pt>
                <c:pt idx="45">
                  <c:v>169.6</c:v>
                </c:pt>
                <c:pt idx="46">
                  <c:v>166.9</c:v>
                </c:pt>
                <c:pt idx="47">
                  <c:v>164.1</c:v>
                </c:pt>
                <c:pt idx="48">
                  <c:v>161.2</c:v>
                </c:pt>
                <c:pt idx="49">
                  <c:v>159.3</c:v>
                </c:pt>
                <c:pt idx="50">
                  <c:v>154.4</c:v>
                </c:pt>
                <c:pt idx="51">
                  <c:v>145.9</c:v>
                </c:pt>
                <c:pt idx="52">
                  <c:v>144.4</c:v>
                </c:pt>
                <c:pt idx="53">
                  <c:v>140.2</c:v>
                </c:pt>
                <c:pt idx="54">
                  <c:v>134.9</c:v>
                </c:pt>
                <c:pt idx="55">
                  <c:v>129.1</c:v>
                </c:pt>
                <c:pt idx="56">
                  <c:v>128.7</c:v>
                </c:pt>
                <c:pt idx="57">
                  <c:v>128.6</c:v>
                </c:pt>
                <c:pt idx="58">
                  <c:v>124.9</c:v>
                </c:pt>
                <c:pt idx="59">
                  <c:v>122.1</c:v>
                </c:pt>
                <c:pt idx="60">
                  <c:v>120.9</c:v>
                </c:pt>
                <c:pt idx="61">
                  <c:v>119.7</c:v>
                </c:pt>
                <c:pt idx="62">
                  <c:v>119.4</c:v>
                </c:pt>
                <c:pt idx="63">
                  <c:v>118.8</c:v>
                </c:pt>
                <c:pt idx="64">
                  <c:v>117.5</c:v>
                </c:pt>
                <c:pt idx="65">
                  <c:v>116.4</c:v>
                </c:pt>
                <c:pt idx="66">
                  <c:v>107.1</c:v>
                </c:pt>
                <c:pt idx="67">
                  <c:v>95.9</c:v>
                </c:pt>
                <c:pt idx="68">
                  <c:v>94.6</c:v>
                </c:pt>
                <c:pt idx="69">
                  <c:v>75.4</c:v>
                </c:pt>
                <c:pt idx="70">
                  <c:v>68.7</c:v>
                </c:pt>
                <c:pt idx="71">
                  <c:v>43.1</c:v>
                </c:pt>
                <c:pt idx="72">
                  <c:v>42.6</c:v>
                </c:pt>
                <c:pt idx="73">
                  <c:v>30.1</c:v>
                </c:pt>
              </c:numCache>
            </c:numRef>
          </c:yVal>
          <c:smooth val="1"/>
        </c:ser>
        <c:ser>
          <c:idx val="3"/>
          <c:order val="3"/>
          <c:tx>
            <c:strRef>
              <c:f>"2026"</c:f>
              <c:strCache>
                <c:ptCount val="1"/>
                <c:pt idx="0">
                  <c:v>2026</c:v>
                </c:pt>
              </c:strCache>
            </c:strRef>
          </c:tx>
          <c:spPr>
            <a:solidFill>
              <a:srgbClr val="c8102e"/>
            </a:solidFill>
            <a:ln w="47520">
              <a:noFill/>
            </a:ln>
          </c:spPr>
          <c:marker>
            <c:symbol val="circle"/>
            <c:size val="6"/>
            <c:spPr>
              <a:solidFill>
                <a:srgbClr val="c8102e"/>
              </a:solidFill>
            </c:spPr>
          </c:marker>
          <c:dLbls>
            <c:txPr>
              <a:bodyPr wrap="none"/>
              <a:lstStyle/>
              <a:p>
                <a:pPr>
                  <a:defRPr b="0" sz="1000" spc="-1" strike="noStrike">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'Car Specs Data'!$F$206:$F$293</c:f>
              <c:numCache>
                <c:formatCode>General</c:formatCode>
                <c:ptCount val="88"/>
                <c:pt idx="0">
                  <c:v>205.9</c:v>
                </c:pt>
                <c:pt idx="1">
                  <c:v>185.1</c:v>
                </c:pt>
                <c:pt idx="2">
                  <c:v>179.6</c:v>
                </c:pt>
                <c:pt idx="3">
                  <c:v>191.4</c:v>
                </c:pt>
                <c:pt idx="4">
                  <c:v>211.4</c:v>
                </c:pt>
                <c:pt idx="5">
                  <c:v>164.7</c:v>
                </c:pt>
                <c:pt idx="6">
                  <c:v>214.1</c:v>
                </c:pt>
                <c:pt idx="7">
                  <c:v>226.3</c:v>
                </c:pt>
                <c:pt idx="8">
                  <c:v>199.1</c:v>
                </c:pt>
                <c:pt idx="9">
                  <c:v>204.6</c:v>
                </c:pt>
                <c:pt idx="10">
                  <c:v>181</c:v>
                </c:pt>
                <c:pt idx="11">
                  <c:v>204.6</c:v>
                </c:pt>
                <c:pt idx="12">
                  <c:v>196.9</c:v>
                </c:pt>
                <c:pt idx="13">
                  <c:v>220</c:v>
                </c:pt>
                <c:pt idx="14">
                  <c:v>201.4</c:v>
                </c:pt>
                <c:pt idx="15">
                  <c:v>202.8</c:v>
                </c:pt>
                <c:pt idx="16">
                  <c:v>209.1</c:v>
                </c:pt>
                <c:pt idx="17">
                  <c:v>235.4</c:v>
                </c:pt>
                <c:pt idx="18">
                  <c:v>215.5</c:v>
                </c:pt>
                <c:pt idx="19">
                  <c:v>212.7</c:v>
                </c:pt>
                <c:pt idx="20">
                  <c:v>214.5</c:v>
                </c:pt>
                <c:pt idx="21">
                  <c:v>191</c:v>
                </c:pt>
                <c:pt idx="22">
                  <c:v>204.1</c:v>
                </c:pt>
                <c:pt idx="23">
                  <c:v>236.8</c:v>
                </c:pt>
                <c:pt idx="24">
                  <c:v>208.7</c:v>
                </c:pt>
                <c:pt idx="25">
                  <c:v>225</c:v>
                </c:pt>
                <c:pt idx="26">
                  <c:v>217.3</c:v>
                </c:pt>
                <c:pt idx="27">
                  <c:v>232.7</c:v>
                </c:pt>
                <c:pt idx="28">
                  <c:v>238.1</c:v>
                </c:pt>
                <c:pt idx="29">
                  <c:v>198.5</c:v>
                </c:pt>
                <c:pt idx="30">
                  <c:v>194.6</c:v>
                </c:pt>
                <c:pt idx="31">
                  <c:v>201.4</c:v>
                </c:pt>
                <c:pt idx="32">
                  <c:v>195.5</c:v>
                </c:pt>
                <c:pt idx="33">
                  <c:v>177.4</c:v>
                </c:pt>
                <c:pt idx="34">
                  <c:v>177.6</c:v>
                </c:pt>
                <c:pt idx="35">
                  <c:v>206.8</c:v>
                </c:pt>
                <c:pt idx="36">
                  <c:v>203</c:v>
                </c:pt>
                <c:pt idx="37">
                  <c:v>203.7</c:v>
                </c:pt>
                <c:pt idx="38">
                  <c:v>200</c:v>
                </c:pt>
                <c:pt idx="39">
                  <c:v>184.1</c:v>
                </c:pt>
                <c:pt idx="40">
                  <c:v>207.3</c:v>
                </c:pt>
                <c:pt idx="41">
                  <c:v>173.7</c:v>
                </c:pt>
                <c:pt idx="42">
                  <c:v>224.1</c:v>
                </c:pt>
                <c:pt idx="43">
                  <c:v>209.7</c:v>
                </c:pt>
                <c:pt idx="44">
                  <c:v>211.4</c:v>
                </c:pt>
                <c:pt idx="45">
                  <c:v>217.7</c:v>
                </c:pt>
                <c:pt idx="46">
                  <c:v>209.3</c:v>
                </c:pt>
                <c:pt idx="47">
                  <c:v>218.2</c:v>
                </c:pt>
                <c:pt idx="48">
                  <c:v>228.2</c:v>
                </c:pt>
                <c:pt idx="49">
                  <c:v>212.3</c:v>
                </c:pt>
                <c:pt idx="50">
                  <c:v>240.4</c:v>
                </c:pt>
                <c:pt idx="51">
                  <c:v>237.2</c:v>
                </c:pt>
                <c:pt idx="52">
                  <c:v>203</c:v>
                </c:pt>
                <c:pt idx="53">
                  <c:v>206.8</c:v>
                </c:pt>
                <c:pt idx="54">
                  <c:v>198.7</c:v>
                </c:pt>
                <c:pt idx="55">
                  <c:v>189.5</c:v>
                </c:pt>
                <c:pt idx="56">
                  <c:v>197.9</c:v>
                </c:pt>
                <c:pt idx="57">
                  <c:v>191.2</c:v>
                </c:pt>
                <c:pt idx="58">
                  <c:v>215.6</c:v>
                </c:pt>
                <c:pt idx="59">
                  <c:v>234.5</c:v>
                </c:pt>
                <c:pt idx="60">
                  <c:v>258.1</c:v>
                </c:pt>
                <c:pt idx="61">
                  <c:v>202.3</c:v>
                </c:pt>
                <c:pt idx="62">
                  <c:v>243.6</c:v>
                </c:pt>
                <c:pt idx="63">
                  <c:v>194.6</c:v>
                </c:pt>
                <c:pt idx="64">
                  <c:v>188</c:v>
                </c:pt>
                <c:pt idx="65">
                  <c:v>218.8</c:v>
                </c:pt>
                <c:pt idx="66">
                  <c:v>210</c:v>
                </c:pt>
                <c:pt idx="67">
                  <c:v>188.8</c:v>
                </c:pt>
                <c:pt idx="68">
                  <c:v>243.6</c:v>
                </c:pt>
                <c:pt idx="69">
                  <c:v>195</c:v>
                </c:pt>
                <c:pt idx="70">
                  <c:v>191.6</c:v>
                </c:pt>
                <c:pt idx="71">
                  <c:v>195.3</c:v>
                </c:pt>
                <c:pt idx="72">
                  <c:v>210.7</c:v>
                </c:pt>
                <c:pt idx="73">
                  <c:v>218.5</c:v>
                </c:pt>
                <c:pt idx="74">
                  <c:v>199.1</c:v>
                </c:pt>
                <c:pt idx="75">
                  <c:v>217.7</c:v>
                </c:pt>
                <c:pt idx="76">
                  <c:v>207</c:v>
                </c:pt>
                <c:pt idx="77">
                  <c:v>238.3</c:v>
                </c:pt>
                <c:pt idx="78">
                  <c:v>173.1</c:v>
                </c:pt>
                <c:pt idx="79">
                  <c:v>203.3</c:v>
                </c:pt>
                <c:pt idx="80">
                  <c:v>184.6</c:v>
                </c:pt>
                <c:pt idx="81">
                  <c:v>180.5</c:v>
                </c:pt>
                <c:pt idx="82">
                  <c:v>210.8</c:v>
                </c:pt>
                <c:pt idx="83">
                  <c:v>204.7</c:v>
                </c:pt>
                <c:pt idx="84">
                  <c:v>204.5</c:v>
                </c:pt>
                <c:pt idx="85">
                  <c:v>158.8</c:v>
                </c:pt>
                <c:pt idx="87">
                  <c:v>87.5</c:v>
                </c:pt>
              </c:numCache>
            </c:numRef>
          </c:xVal>
          <c:yVal>
            <c:numRef>
              <c:f>'Car Specs Data'!$H$206:$H$293</c:f>
              <c:numCache>
                <c:formatCode>General</c:formatCode>
                <c:ptCount val="88"/>
                <c:pt idx="0">
                  <c:v>895.5</c:v>
                </c:pt>
                <c:pt idx="1">
                  <c:v>856.7</c:v>
                </c:pt>
                <c:pt idx="2">
                  <c:v>807.2</c:v>
                </c:pt>
                <c:pt idx="3">
                  <c:v>756.9</c:v>
                </c:pt>
                <c:pt idx="4">
                  <c:v>756.8</c:v>
                </c:pt>
                <c:pt idx="5">
                  <c:v>743.9</c:v>
                </c:pt>
                <c:pt idx="6">
                  <c:v>717.5</c:v>
                </c:pt>
                <c:pt idx="7">
                  <c:v>696</c:v>
                </c:pt>
                <c:pt idx="8">
                  <c:v>681.3</c:v>
                </c:pt>
                <c:pt idx="9">
                  <c:v>671.3</c:v>
                </c:pt>
                <c:pt idx="10">
                  <c:v>625.8</c:v>
                </c:pt>
                <c:pt idx="11">
                  <c:v>609.7</c:v>
                </c:pt>
                <c:pt idx="12">
                  <c:v>576.1</c:v>
                </c:pt>
                <c:pt idx="13">
                  <c:v>562.4</c:v>
                </c:pt>
                <c:pt idx="14">
                  <c:v>543</c:v>
                </c:pt>
                <c:pt idx="15">
                  <c:v>527.8</c:v>
                </c:pt>
                <c:pt idx="16">
                  <c:v>508.5</c:v>
                </c:pt>
                <c:pt idx="17">
                  <c:v>491.6</c:v>
                </c:pt>
                <c:pt idx="18">
                  <c:v>475.1</c:v>
                </c:pt>
                <c:pt idx="19">
                  <c:v>462</c:v>
                </c:pt>
                <c:pt idx="20">
                  <c:v>429.4</c:v>
                </c:pt>
                <c:pt idx="21">
                  <c:v>394.3</c:v>
                </c:pt>
                <c:pt idx="22">
                  <c:v>391.5</c:v>
                </c:pt>
                <c:pt idx="23">
                  <c:v>370.7</c:v>
                </c:pt>
                <c:pt idx="24">
                  <c:v>364.8</c:v>
                </c:pt>
                <c:pt idx="25">
                  <c:v>358.5</c:v>
                </c:pt>
                <c:pt idx="26">
                  <c:v>324</c:v>
                </c:pt>
                <c:pt idx="27">
                  <c:v>304</c:v>
                </c:pt>
                <c:pt idx="28">
                  <c:v>288.4</c:v>
                </c:pt>
                <c:pt idx="29">
                  <c:v>281.9</c:v>
                </c:pt>
                <c:pt idx="30">
                  <c:v>274.5</c:v>
                </c:pt>
                <c:pt idx="31">
                  <c:v>274.2</c:v>
                </c:pt>
                <c:pt idx="32">
                  <c:v>273.1</c:v>
                </c:pt>
                <c:pt idx="33">
                  <c:v>258.2</c:v>
                </c:pt>
                <c:pt idx="34">
                  <c:v>251</c:v>
                </c:pt>
                <c:pt idx="35">
                  <c:v>246.1</c:v>
                </c:pt>
                <c:pt idx="36">
                  <c:v>244.7</c:v>
                </c:pt>
                <c:pt idx="37">
                  <c:v>238.8</c:v>
                </c:pt>
                <c:pt idx="38">
                  <c:v>235</c:v>
                </c:pt>
                <c:pt idx="39">
                  <c:v>235</c:v>
                </c:pt>
                <c:pt idx="40">
                  <c:v>232.9</c:v>
                </c:pt>
                <c:pt idx="41">
                  <c:v>228.1</c:v>
                </c:pt>
                <c:pt idx="42">
                  <c:v>227.7</c:v>
                </c:pt>
                <c:pt idx="43">
                  <c:v>223.2</c:v>
                </c:pt>
                <c:pt idx="44">
                  <c:v>220.5</c:v>
                </c:pt>
                <c:pt idx="45">
                  <c:v>219.7</c:v>
                </c:pt>
                <c:pt idx="46">
                  <c:v>218.8</c:v>
                </c:pt>
                <c:pt idx="47">
                  <c:v>217</c:v>
                </c:pt>
                <c:pt idx="48">
                  <c:v>214.8</c:v>
                </c:pt>
                <c:pt idx="49">
                  <c:v>212.9</c:v>
                </c:pt>
                <c:pt idx="50">
                  <c:v>211.1</c:v>
                </c:pt>
                <c:pt idx="51">
                  <c:v>199.6</c:v>
                </c:pt>
                <c:pt idx="52">
                  <c:v>192.3</c:v>
                </c:pt>
                <c:pt idx="53">
                  <c:v>190.9</c:v>
                </c:pt>
                <c:pt idx="54">
                  <c:v>188.8</c:v>
                </c:pt>
                <c:pt idx="55">
                  <c:v>186.9</c:v>
                </c:pt>
                <c:pt idx="56">
                  <c:v>186.2</c:v>
                </c:pt>
                <c:pt idx="57">
                  <c:v>181.2</c:v>
                </c:pt>
                <c:pt idx="58">
                  <c:v>178.1</c:v>
                </c:pt>
                <c:pt idx="59">
                  <c:v>174.5</c:v>
                </c:pt>
                <c:pt idx="60">
                  <c:v>166.9</c:v>
                </c:pt>
                <c:pt idx="61">
                  <c:v>165.1</c:v>
                </c:pt>
                <c:pt idx="62">
                  <c:v>158.4</c:v>
                </c:pt>
                <c:pt idx="63">
                  <c:v>153.7</c:v>
                </c:pt>
                <c:pt idx="64">
                  <c:v>153.1</c:v>
                </c:pt>
                <c:pt idx="65">
                  <c:v>152.8</c:v>
                </c:pt>
                <c:pt idx="66">
                  <c:v>146</c:v>
                </c:pt>
                <c:pt idx="67">
                  <c:v>142.5</c:v>
                </c:pt>
                <c:pt idx="68">
                  <c:v>138.2</c:v>
                </c:pt>
                <c:pt idx="69">
                  <c:v>134.8</c:v>
                </c:pt>
                <c:pt idx="70">
                  <c:v>132.2</c:v>
                </c:pt>
                <c:pt idx="71">
                  <c:v>130.6</c:v>
                </c:pt>
                <c:pt idx="72">
                  <c:v>128.4</c:v>
                </c:pt>
                <c:pt idx="73">
                  <c:v>123.9</c:v>
                </c:pt>
                <c:pt idx="74">
                  <c:v>123.3</c:v>
                </c:pt>
                <c:pt idx="75">
                  <c:v>122.7</c:v>
                </c:pt>
                <c:pt idx="76">
                  <c:v>118.2</c:v>
                </c:pt>
                <c:pt idx="77">
                  <c:v>116.6</c:v>
                </c:pt>
                <c:pt idx="78">
                  <c:v>106.4</c:v>
                </c:pt>
                <c:pt idx="79">
                  <c:v>105.5</c:v>
                </c:pt>
                <c:pt idx="80">
                  <c:v>95.8</c:v>
                </c:pt>
                <c:pt idx="81">
                  <c:v>93.4</c:v>
                </c:pt>
                <c:pt idx="82">
                  <c:v>87.9</c:v>
                </c:pt>
                <c:pt idx="83">
                  <c:v>70.2</c:v>
                </c:pt>
                <c:pt idx="84">
                  <c:v>60.9</c:v>
                </c:pt>
                <c:pt idx="85">
                  <c:v>21.1</c:v>
                </c:pt>
                <c:pt idx="86">
                  <c:v>14.9</c:v>
                </c:pt>
                <c:pt idx="87">
                  <c:v>10</c:v>
                </c:pt>
              </c:numCache>
            </c:numRef>
          </c:yVal>
          <c:smooth val="1"/>
        </c:ser>
        <c:axId val="18907606"/>
        <c:axId val="67480380"/>
      </c:scatterChart>
      <c:valAx>
        <c:axId val="18907606"/>
        <c:scaling>
          <c:orientation val="minMax"/>
          <c:max val="300"/>
          <c:min val="15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Weight (kg)</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80380"/>
        <c:crosses val="autoZero"/>
        <c:crossBetween val="midCat"/>
      </c:valAx>
      <c:valAx>
        <c:axId val="674803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Total score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0760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_rels/drawing4.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5.xml.rels><?xml version="1.0" encoding="UTF-8"?>
<Relationships xmlns="http://schemas.openxmlformats.org/package/2006/relationships"><Relationship Id="rId1" Type="http://schemas.openxmlformats.org/officeDocument/2006/relationships/chart" Target="../charts/chart9.xml"/>
</Relationships>
</file>

<file path=xl/drawings/_rels/drawing6.xml.rels><?xml version="1.0" encoding="UTF-8"?>
<Relationships xmlns="http://schemas.openxmlformats.org/package/2006/relationships"><Relationship Id="rId1" Type="http://schemas.openxmlformats.org/officeDocument/2006/relationships/chart" Target="../charts/chart10.xml"/>
</Relationships>
</file>

<file path=xl/drawings/_rels/drawing7.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0</xdr:rowOff>
    </xdr:from>
    <xdr:to>
      <xdr:col>6</xdr:col>
      <xdr:colOff>640800</xdr:colOff>
      <xdr:row>38</xdr:row>
      <xdr:rowOff>11160</xdr:rowOff>
    </xdr:to>
    <xdr:graphicFrame>
      <xdr:nvGraphicFramePr>
        <xdr:cNvPr id="0" name="Chart 1"/>
        <xdr:cNvGraphicFramePr/>
      </xdr:nvGraphicFramePr>
      <xdr:xfrm>
        <a:off x="0" y="6429240"/>
        <a:ext cx="557604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0</xdr:rowOff>
    </xdr:from>
    <xdr:to>
      <xdr:col>13</xdr:col>
      <xdr:colOff>311400</xdr:colOff>
      <xdr:row>38</xdr:row>
      <xdr:rowOff>11160</xdr:rowOff>
    </xdr:to>
    <xdr:graphicFrame>
      <xdr:nvGraphicFramePr>
        <xdr:cNvPr id="1" name="Chart 2"/>
        <xdr:cNvGraphicFramePr/>
      </xdr:nvGraphicFramePr>
      <xdr:xfrm>
        <a:off x="4935240" y="6429240"/>
        <a:ext cx="557604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0</xdr:rowOff>
    </xdr:from>
    <xdr:to>
      <xdr:col>6</xdr:col>
      <xdr:colOff>538920</xdr:colOff>
      <xdr:row>53</xdr:row>
      <xdr:rowOff>11160</xdr:rowOff>
    </xdr:to>
    <xdr:graphicFrame>
      <xdr:nvGraphicFramePr>
        <xdr:cNvPr id="2" name="Chart 1"/>
        <xdr:cNvGraphicFramePr/>
      </xdr:nvGraphicFramePr>
      <xdr:xfrm>
        <a:off x="0" y="8353440"/>
        <a:ext cx="575676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37</xdr:row>
      <xdr:rowOff>0</xdr:rowOff>
    </xdr:from>
    <xdr:to>
      <xdr:col>11</xdr:col>
      <xdr:colOff>933480</xdr:colOff>
      <xdr:row>53</xdr:row>
      <xdr:rowOff>11160</xdr:rowOff>
    </xdr:to>
    <xdr:graphicFrame>
      <xdr:nvGraphicFramePr>
        <xdr:cNvPr id="3" name="Chart 2"/>
        <xdr:cNvGraphicFramePr/>
      </xdr:nvGraphicFramePr>
      <xdr:xfrm>
        <a:off x="6063480" y="8353440"/>
        <a:ext cx="431676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55</xdr:row>
      <xdr:rowOff>0</xdr:rowOff>
    </xdr:from>
    <xdr:to>
      <xdr:col>10</xdr:col>
      <xdr:colOff>33120</xdr:colOff>
      <xdr:row>72</xdr:row>
      <xdr:rowOff>720</xdr:rowOff>
    </xdr:to>
    <xdr:graphicFrame>
      <xdr:nvGraphicFramePr>
        <xdr:cNvPr id="4" name="Chart 3"/>
        <xdr:cNvGraphicFramePr/>
      </xdr:nvGraphicFramePr>
      <xdr:xfrm>
        <a:off x="0" y="11782440"/>
        <a:ext cx="863424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60</xdr:row>
      <xdr:rowOff>0</xdr:rowOff>
    </xdr:from>
    <xdr:to>
      <xdr:col>9</xdr:col>
      <xdr:colOff>1102680</xdr:colOff>
      <xdr:row>75</xdr:row>
      <xdr:rowOff>11160</xdr:rowOff>
    </xdr:to>
    <xdr:graphicFrame>
      <xdr:nvGraphicFramePr>
        <xdr:cNvPr id="5" name="Chart 1"/>
        <xdr:cNvGraphicFramePr/>
      </xdr:nvGraphicFramePr>
      <xdr:xfrm>
        <a:off x="3950280" y="13677840"/>
        <a:ext cx="575784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0</xdr:rowOff>
    </xdr:from>
    <xdr:to>
      <xdr:col>5</xdr:col>
      <xdr:colOff>298440</xdr:colOff>
      <xdr:row>49</xdr:row>
      <xdr:rowOff>21600</xdr:rowOff>
    </xdr:to>
    <xdr:graphicFrame>
      <xdr:nvGraphicFramePr>
        <xdr:cNvPr id="6" name="Chart 1"/>
        <xdr:cNvGraphicFramePr/>
      </xdr:nvGraphicFramePr>
      <xdr:xfrm>
        <a:off x="0" y="8086680"/>
        <a:ext cx="43167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34</xdr:row>
      <xdr:rowOff>0</xdr:rowOff>
    </xdr:from>
    <xdr:to>
      <xdr:col>10</xdr:col>
      <xdr:colOff>1511640</xdr:colOff>
      <xdr:row>49</xdr:row>
      <xdr:rowOff>21600</xdr:rowOff>
    </xdr:to>
    <xdr:graphicFrame>
      <xdr:nvGraphicFramePr>
        <xdr:cNvPr id="7" name="Chart 2"/>
        <xdr:cNvGraphicFramePr/>
      </xdr:nvGraphicFramePr>
      <xdr:xfrm>
        <a:off x="4863960" y="8086680"/>
        <a:ext cx="503784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16</xdr:col>
      <xdr:colOff>0</xdr:colOff>
      <xdr:row>3</xdr:row>
      <xdr:rowOff>0</xdr:rowOff>
    </xdr:from>
    <xdr:to>
      <xdr:col>28</xdr:col>
      <xdr:colOff>573480</xdr:colOff>
      <xdr:row>22</xdr:row>
      <xdr:rowOff>101520</xdr:rowOff>
    </xdr:to>
    <xdr:graphicFrame>
      <xdr:nvGraphicFramePr>
        <xdr:cNvPr id="8" name="Chart 1"/>
        <xdr:cNvGraphicFramePr/>
      </xdr:nvGraphicFramePr>
      <xdr:xfrm>
        <a:off x="12394080" y="923760"/>
        <a:ext cx="7926480" cy="39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19</xdr:row>
      <xdr:rowOff>0</xdr:rowOff>
    </xdr:from>
    <xdr:to>
      <xdr:col>13</xdr:col>
      <xdr:colOff>608760</xdr:colOff>
      <xdr:row>34</xdr:row>
      <xdr:rowOff>239040</xdr:rowOff>
    </xdr:to>
    <xdr:graphicFrame>
      <xdr:nvGraphicFramePr>
        <xdr:cNvPr id="9" name="Chart 1"/>
        <xdr:cNvGraphicFramePr/>
      </xdr:nvGraphicFramePr>
      <xdr:xfrm>
        <a:off x="4656960" y="4295880"/>
        <a:ext cx="575820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0</xdr:rowOff>
    </xdr:from>
    <xdr:to>
      <xdr:col>5</xdr:col>
      <xdr:colOff>178920</xdr:colOff>
      <xdr:row>58</xdr:row>
      <xdr:rowOff>21600</xdr:rowOff>
    </xdr:to>
    <xdr:graphicFrame>
      <xdr:nvGraphicFramePr>
        <xdr:cNvPr id="10" name="Chart 1"/>
        <xdr:cNvGraphicFramePr/>
      </xdr:nvGraphicFramePr>
      <xdr:xfrm>
        <a:off x="0" y="10125000"/>
        <a:ext cx="53967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43</xdr:row>
      <xdr:rowOff>0</xdr:rowOff>
    </xdr:from>
    <xdr:to>
      <xdr:col>12</xdr:col>
      <xdr:colOff>177120</xdr:colOff>
      <xdr:row>58</xdr:row>
      <xdr:rowOff>21600</xdr:rowOff>
    </xdr:to>
    <xdr:graphicFrame>
      <xdr:nvGraphicFramePr>
        <xdr:cNvPr id="11" name="Chart 2"/>
        <xdr:cNvGraphicFramePr/>
      </xdr:nvGraphicFramePr>
      <xdr:xfrm>
        <a:off x="5217840" y="10125000"/>
        <a:ext cx="539856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60</xdr:row>
      <xdr:rowOff>0</xdr:rowOff>
    </xdr:from>
    <xdr:to>
      <xdr:col>5</xdr:col>
      <xdr:colOff>178920</xdr:colOff>
      <xdr:row>75</xdr:row>
      <xdr:rowOff>21600</xdr:rowOff>
    </xdr:to>
    <xdr:graphicFrame>
      <xdr:nvGraphicFramePr>
        <xdr:cNvPr id="12" name="Chart 3"/>
        <xdr:cNvGraphicFramePr/>
      </xdr:nvGraphicFramePr>
      <xdr:xfrm>
        <a:off x="0" y="13363560"/>
        <a:ext cx="539676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60</xdr:row>
      <xdr:rowOff>0</xdr:rowOff>
    </xdr:from>
    <xdr:to>
      <xdr:col>12</xdr:col>
      <xdr:colOff>177120</xdr:colOff>
      <xdr:row>75</xdr:row>
      <xdr:rowOff>21600</xdr:rowOff>
    </xdr:to>
    <xdr:graphicFrame>
      <xdr:nvGraphicFramePr>
        <xdr:cNvPr id="13" name="Chart 4"/>
        <xdr:cNvGraphicFramePr/>
      </xdr:nvGraphicFramePr>
      <xdr:xfrm>
        <a:off x="5217840" y="13363560"/>
        <a:ext cx="539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8102E"/>
    <pageSetUpPr fitToPage="true"/>
  </sheetPr>
  <dimension ref="A1:L21"/>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15"/>
    <col collapsed="false" customWidth="true" hidden="false" outlineLevel="0" max="12" min="2" style="0" width="10.99"/>
  </cols>
  <sheetData>
    <row r="1" customFormat="false" ht="33.75" hidden="false" customHeight="true" outlineLevel="0" collapsed="false">
      <c r="A1" s="1" t="s">
        <v>0</v>
      </c>
      <c r="B1" s="1"/>
      <c r="C1" s="1"/>
      <c r="D1" s="1"/>
      <c r="E1" s="1"/>
      <c r="F1" s="1"/>
      <c r="G1" s="1"/>
      <c r="H1" s="1"/>
      <c r="I1" s="1"/>
      <c r="J1" s="1"/>
      <c r="K1" s="1"/>
      <c r="L1" s="1"/>
    </row>
    <row r="2" customFormat="false" ht="24" hidden="false" customHeight="true" outlineLevel="0" collapsed="false">
      <c r="A2" s="2" t="s">
        <v>1</v>
      </c>
      <c r="B2" s="2"/>
      <c r="C2" s="2"/>
      <c r="D2" s="2"/>
      <c r="E2" s="2"/>
      <c r="F2" s="2"/>
      <c r="G2" s="2"/>
      <c r="H2" s="2"/>
      <c r="I2" s="2"/>
      <c r="J2" s="2"/>
      <c r="K2" s="2"/>
      <c r="L2" s="2"/>
    </row>
    <row r="4" customFormat="false" ht="15" hidden="false" customHeight="false" outlineLevel="0" collapsed="false">
      <c r="A4" s="3" t="s">
        <v>2</v>
      </c>
      <c r="B4" s="3"/>
      <c r="C4" s="3"/>
      <c r="D4" s="3" t="s">
        <v>3</v>
      </c>
      <c r="E4" s="3"/>
      <c r="F4" s="3"/>
      <c r="G4" s="3" t="s">
        <v>4</v>
      </c>
      <c r="H4" s="3"/>
      <c r="I4" s="3"/>
      <c r="J4" s="3" t="s">
        <v>5</v>
      </c>
      <c r="K4" s="3"/>
      <c r="L4" s="3"/>
    </row>
    <row r="5" customFormat="false" ht="39.75" hidden="false" customHeight="true" outlineLevel="0" collapsed="false">
      <c r="A5" s="4" t="str">
        <f aca="false">"#"&amp;'School Trend'!B10&amp;" of "&amp;'School Trend'!C10</f>
        <v>#4 of 88</v>
      </c>
      <c r="B5" s="4"/>
      <c r="C5" s="4"/>
      <c r="D5" s="5" t="n">
        <f aca="false">'School Trend'!D10</f>
        <v>756.9</v>
      </c>
      <c r="E5" s="5"/>
      <c r="F5" s="5"/>
      <c r="G5" s="6" t="n">
        <f aca="false">'School Trend'!D10-'School Trend'!D9</f>
        <v>238.9</v>
      </c>
      <c r="H5" s="6"/>
      <c r="I5" s="6"/>
      <c r="J5" s="6" t="n">
        <f aca="false">'School Trend'!G10</f>
        <v>-138.6</v>
      </c>
      <c r="K5" s="6"/>
      <c r="L5" s="6"/>
    </row>
    <row r="7" customFormat="false" ht="21.75" hidden="false" customHeight="true" outlineLevel="0" collapsed="false">
      <c r="A7" s="7" t="s">
        <v>6</v>
      </c>
      <c r="B7" s="7"/>
      <c r="C7" s="7"/>
      <c r="D7" s="7"/>
      <c r="E7" s="7"/>
      <c r="F7" s="7"/>
      <c r="G7" s="7"/>
      <c r="H7" s="7"/>
      <c r="I7" s="7"/>
      <c r="J7" s="7"/>
      <c r="K7" s="7"/>
      <c r="L7" s="7"/>
    </row>
    <row r="8" customFormat="false" ht="30" hidden="false" customHeight="true" outlineLevel="0" collapsed="false">
      <c r="A8" s="8" t="s">
        <v>7</v>
      </c>
      <c r="B8" s="8" t="s">
        <v>8</v>
      </c>
      <c r="C8" s="8" t="s">
        <v>9</v>
      </c>
      <c r="D8" s="8" t="s">
        <v>10</v>
      </c>
      <c r="E8" s="8" t="s">
        <v>11</v>
      </c>
      <c r="F8" s="8" t="s">
        <v>12</v>
      </c>
      <c r="G8" s="8" t="s">
        <v>13</v>
      </c>
      <c r="H8" s="8" t="s">
        <v>14</v>
      </c>
      <c r="I8" s="8" t="s">
        <v>15</v>
      </c>
      <c r="J8" s="8" t="s">
        <v>16</v>
      </c>
      <c r="K8" s="8" t="s">
        <v>17</v>
      </c>
      <c r="L8" s="8" t="s">
        <v>18</v>
      </c>
    </row>
    <row r="9" customFormat="false" ht="15" hidden="false" customHeight="false" outlineLevel="0" collapsed="false">
      <c r="A9" s="9" t="n">
        <v>2022</v>
      </c>
      <c r="B9" s="10" t="n">
        <f aca="false">'School Trend'!B6</f>
        <v>5</v>
      </c>
      <c r="C9" s="11" t="n">
        <f aca="false">'School Trend'!C6</f>
        <v>43</v>
      </c>
      <c r="D9" s="12" t="n">
        <f aca="false">'School Trend'!D6</f>
        <v>646</v>
      </c>
      <c r="E9" s="12" t="n">
        <f aca="false">'School Trend'!E6</f>
        <v>847</v>
      </c>
      <c r="F9" s="12" t="n">
        <f aca="false">'School Trend'!F6</f>
        <v>245.246511627907</v>
      </c>
      <c r="G9" s="13" t="n">
        <f aca="false">'School Trend'!G6</f>
        <v>-201</v>
      </c>
      <c r="H9" s="14" t="n">
        <f aca="false">'School Trend'!J6</f>
        <v>400.753488372093</v>
      </c>
      <c r="I9" s="15" t="n">
        <f aca="false">'School Trend'!I6</f>
        <v>0.904761904761905</v>
      </c>
      <c r="J9" s="12" t="n">
        <f aca="false">'School Trend'!C15</f>
        <v>84.21</v>
      </c>
      <c r="K9" s="12" t="n">
        <f aca="false">'School Trend'!C17</f>
        <v>145</v>
      </c>
      <c r="L9" s="12" t="n">
        <f aca="false">'School Trend'!C21</f>
        <v>16</v>
      </c>
    </row>
    <row r="10" customFormat="false" ht="15" hidden="false" customHeight="false" outlineLevel="0" collapsed="false">
      <c r="A10" s="9" t="n">
        <v>2023</v>
      </c>
      <c r="B10" s="10" t="n">
        <f aca="false">'School Trend'!B7</f>
        <v>2</v>
      </c>
      <c r="C10" s="11" t="n">
        <f aca="false">'School Trend'!C7</f>
        <v>61</v>
      </c>
      <c r="D10" s="12" t="n">
        <f aca="false">'School Trend'!D7</f>
        <v>762.4</v>
      </c>
      <c r="E10" s="12" t="n">
        <f aca="false">'School Trend'!E7</f>
        <v>919.1</v>
      </c>
      <c r="F10" s="12" t="n">
        <f aca="false">'School Trend'!F7</f>
        <v>281.086885245902</v>
      </c>
      <c r="G10" s="13" t="n">
        <f aca="false">'School Trend'!G7</f>
        <v>-156.7</v>
      </c>
      <c r="H10" s="14" t="n">
        <f aca="false">'School Trend'!J7</f>
        <v>481.313114754098</v>
      </c>
      <c r="I10" s="15" t="n">
        <f aca="false">'School Trend'!I7</f>
        <v>0.983333333333333</v>
      </c>
      <c r="J10" s="12" t="n">
        <f aca="false">'School Trend'!D15</f>
        <v>77.4</v>
      </c>
      <c r="K10" s="12" t="n">
        <f aca="false">'School Trend'!D17</f>
        <v>113</v>
      </c>
      <c r="L10" s="12" t="n">
        <f aca="false">'School Trend'!D21</f>
        <v>226.6</v>
      </c>
    </row>
    <row r="11" customFormat="false" ht="15" hidden="false" customHeight="false" outlineLevel="0" collapsed="false">
      <c r="A11" s="9" t="n">
        <v>2024</v>
      </c>
      <c r="B11" s="10" t="n">
        <f aca="false">'School Trend'!B8</f>
        <v>14</v>
      </c>
      <c r="C11" s="11" t="n">
        <f aca="false">'School Trend'!C8</f>
        <v>70</v>
      </c>
      <c r="D11" s="12" t="n">
        <f aca="false">'School Trend'!D8</f>
        <v>589.9</v>
      </c>
      <c r="E11" s="12" t="n">
        <f aca="false">'School Trend'!E8</f>
        <v>760.6</v>
      </c>
      <c r="F11" s="12" t="n">
        <f aca="false">'School Trend'!F8</f>
        <v>323.397142857143</v>
      </c>
      <c r="G11" s="13" t="n">
        <f aca="false">'School Trend'!G8</f>
        <v>-170.7</v>
      </c>
      <c r="H11" s="14" t="n">
        <f aca="false">'School Trend'!J8</f>
        <v>266.502857142857</v>
      </c>
      <c r="I11" s="15" t="n">
        <f aca="false">'School Trend'!I8</f>
        <v>0.811594202898551</v>
      </c>
      <c r="J11" s="12" t="n">
        <f aca="false">'School Trend'!E15</f>
        <v>51</v>
      </c>
      <c r="K11" s="12" t="n">
        <f aca="false">'School Trend'!E17</f>
        <v>75</v>
      </c>
      <c r="L11" s="12" t="n">
        <f aca="false">'School Trend'!E21</f>
        <v>186.5</v>
      </c>
    </row>
    <row r="12" customFormat="false" ht="15" hidden="false" customHeight="false" outlineLevel="0" collapsed="false">
      <c r="A12" s="9" t="n">
        <v>2025</v>
      </c>
      <c r="B12" s="10" t="n">
        <f aca="false">'School Trend'!B9</f>
        <v>13</v>
      </c>
      <c r="C12" s="11" t="n">
        <f aca="false">'School Trend'!C9</f>
        <v>78</v>
      </c>
      <c r="D12" s="12" t="n">
        <f aca="false">'School Trend'!D9</f>
        <v>518</v>
      </c>
      <c r="E12" s="12" t="n">
        <f aca="false">'School Trend'!E9</f>
        <v>790.4</v>
      </c>
      <c r="F12" s="12" t="n">
        <f aca="false">'School Trend'!F9</f>
        <v>279.869230769231</v>
      </c>
      <c r="G12" s="13" t="n">
        <f aca="false">'School Trend'!G9</f>
        <v>-272.4</v>
      </c>
      <c r="H12" s="14" t="n">
        <f aca="false">'School Trend'!J9</f>
        <v>238.130769230769</v>
      </c>
      <c r="I12" s="15" t="n">
        <f aca="false">'School Trend'!I9</f>
        <v>0.844155844155844</v>
      </c>
      <c r="J12" s="12" t="n">
        <f aca="false">'School Trend'!F15</f>
        <v>90.22</v>
      </c>
      <c r="K12" s="12" t="n">
        <f aca="false">'School Trend'!F17</f>
        <v>130</v>
      </c>
      <c r="L12" s="12" t="n">
        <f aca="false">'School Trend'!F21</f>
        <v>21</v>
      </c>
    </row>
    <row r="13" customFormat="false" ht="15" hidden="false" customHeight="false" outlineLevel="0" collapsed="false">
      <c r="A13" s="16" t="n">
        <v>2026</v>
      </c>
      <c r="B13" s="17" t="n">
        <f aca="false">'School Trend'!B10</f>
        <v>4</v>
      </c>
      <c r="C13" s="18" t="n">
        <f aca="false">'School Trend'!C10</f>
        <v>88</v>
      </c>
      <c r="D13" s="19" t="n">
        <f aca="false">'School Trend'!D10</f>
        <v>756.9</v>
      </c>
      <c r="E13" s="19" t="n">
        <f aca="false">'School Trend'!E10</f>
        <v>895.5</v>
      </c>
      <c r="F13" s="19" t="n">
        <f aca="false">'School Trend'!F10</f>
        <v>298.657954545455</v>
      </c>
      <c r="G13" s="20" t="n">
        <f aca="false">'School Trend'!G10</f>
        <v>-138.6</v>
      </c>
      <c r="H13" s="21" t="n">
        <f aca="false">'School Trend'!J10</f>
        <v>458.242045454545</v>
      </c>
      <c r="I13" s="22" t="n">
        <f aca="false">'School Trend'!I10</f>
        <v>0.96551724137931</v>
      </c>
      <c r="J13" s="19" t="n">
        <f aca="false">'School Trend'!G15</f>
        <v>98</v>
      </c>
      <c r="K13" s="19" t="n">
        <f aca="false">'School Trend'!G17</f>
        <v>143</v>
      </c>
      <c r="L13" s="19" t="n">
        <f aca="false">'School Trend'!G21</f>
        <v>186.2</v>
      </c>
    </row>
    <row r="15" customFormat="false" ht="21.75" hidden="false" customHeight="true" outlineLevel="0" collapsed="false">
      <c r="A15" s="7" t="s">
        <v>19</v>
      </c>
      <c r="B15" s="7"/>
      <c r="C15" s="7"/>
      <c r="D15" s="7"/>
      <c r="E15" s="7"/>
      <c r="F15" s="7"/>
      <c r="G15" s="7"/>
      <c r="H15" s="7"/>
      <c r="I15" s="7"/>
      <c r="J15" s="7"/>
      <c r="K15" s="7"/>
      <c r="L15" s="7"/>
    </row>
    <row r="16" customFormat="false" ht="31.5" hidden="false" customHeight="true" outlineLevel="0" collapsed="false">
      <c r="A16" s="23" t="s">
        <v>20</v>
      </c>
      <c r="B16" s="23"/>
      <c r="C16" s="23"/>
      <c r="D16" s="23"/>
      <c r="E16" s="23"/>
      <c r="F16" s="23"/>
      <c r="G16" s="23"/>
      <c r="H16" s="23"/>
      <c r="I16" s="23"/>
      <c r="J16" s="23"/>
      <c r="K16" s="23"/>
      <c r="L16" s="23"/>
    </row>
    <row r="17" customFormat="false" ht="31.5" hidden="false" customHeight="true" outlineLevel="0" collapsed="false">
      <c r="A17" s="24" t="s">
        <v>21</v>
      </c>
      <c r="B17" s="24"/>
      <c r="C17" s="24"/>
      <c r="D17" s="24"/>
      <c r="E17" s="24"/>
      <c r="F17" s="24"/>
      <c r="G17" s="24"/>
      <c r="H17" s="24"/>
      <c r="I17" s="24"/>
      <c r="J17" s="24"/>
      <c r="K17" s="24"/>
      <c r="L17" s="24"/>
    </row>
    <row r="18" customFormat="false" ht="31.5" hidden="false" customHeight="true" outlineLevel="0" collapsed="false">
      <c r="A18" s="23" t="s">
        <v>22</v>
      </c>
      <c r="B18" s="23"/>
      <c r="C18" s="23"/>
      <c r="D18" s="23"/>
      <c r="E18" s="23"/>
      <c r="F18" s="23"/>
      <c r="G18" s="23"/>
      <c r="H18" s="23"/>
      <c r="I18" s="23"/>
      <c r="J18" s="23"/>
      <c r="K18" s="23"/>
      <c r="L18" s="23"/>
    </row>
    <row r="19" customFormat="false" ht="31.5" hidden="false" customHeight="true" outlineLevel="0" collapsed="false">
      <c r="A19" s="24" t="s">
        <v>23</v>
      </c>
      <c r="B19" s="24"/>
      <c r="C19" s="24"/>
      <c r="D19" s="24"/>
      <c r="E19" s="24"/>
      <c r="F19" s="24"/>
      <c r="G19" s="24"/>
      <c r="H19" s="24"/>
      <c r="I19" s="24"/>
      <c r="J19" s="24"/>
      <c r="K19" s="24"/>
      <c r="L19" s="24"/>
    </row>
    <row r="20" customFormat="false" ht="31.5" hidden="false" customHeight="true" outlineLevel="0" collapsed="false">
      <c r="A20" s="23" t="s">
        <v>24</v>
      </c>
      <c r="B20" s="23"/>
      <c r="C20" s="23"/>
      <c r="D20" s="23"/>
      <c r="E20" s="23"/>
      <c r="F20" s="23"/>
      <c r="G20" s="23"/>
      <c r="H20" s="23"/>
      <c r="I20" s="23"/>
      <c r="J20" s="23"/>
      <c r="K20" s="23"/>
      <c r="L20" s="23"/>
    </row>
    <row r="21" customFormat="false" ht="27.75" hidden="false" customHeight="true" outlineLevel="0" collapsed="false">
      <c r="A21" s="25" t="s">
        <v>25</v>
      </c>
      <c r="B21" s="25"/>
      <c r="C21" s="25"/>
      <c r="D21" s="25"/>
      <c r="E21" s="25"/>
      <c r="F21" s="25"/>
      <c r="G21" s="25"/>
      <c r="H21" s="25"/>
      <c r="I21" s="25"/>
      <c r="J21" s="25"/>
      <c r="K21" s="25"/>
      <c r="L21" s="25"/>
    </row>
  </sheetData>
  <mergeCells count="18">
    <mergeCell ref="A1:L1"/>
    <mergeCell ref="A2:L2"/>
    <mergeCell ref="A4:C4"/>
    <mergeCell ref="D4:F4"/>
    <mergeCell ref="G4:I4"/>
    <mergeCell ref="J4:L4"/>
    <mergeCell ref="A5:C5"/>
    <mergeCell ref="D5:F5"/>
    <mergeCell ref="G5:I5"/>
    <mergeCell ref="J5:L5"/>
    <mergeCell ref="A7:L7"/>
    <mergeCell ref="A15:L15"/>
    <mergeCell ref="A16:L16"/>
    <mergeCell ref="A17:L17"/>
    <mergeCell ref="A18:L18"/>
    <mergeCell ref="A19:L19"/>
    <mergeCell ref="A20:L20"/>
    <mergeCell ref="A21:L21"/>
  </mergeCells>
  <conditionalFormatting sqref="I9:I13">
    <cfRule type="colorScale" priority="2">
      <colorScale>
        <cfvo type="num" val="0.5"/>
        <cfvo type="num" val="0.8"/>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8102E"/>
    <pageSetUpPr fitToPage="true"/>
  </sheetPr>
  <dimension ref="A1:M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11" min="3" style="0" width="11.99"/>
    <col collapsed="false" customWidth="true" hidden="false" outlineLevel="0" max="12" min="12" style="0" width="30.02"/>
    <col collapsed="false" customWidth="true" hidden="false" outlineLevel="0" max="13" min="13" style="0" width="11.99"/>
  </cols>
  <sheetData>
    <row r="1" customFormat="false" ht="33.75" hidden="false" customHeight="true" outlineLevel="0" collapsed="false">
      <c r="A1" s="1" t="s">
        <v>26</v>
      </c>
      <c r="B1" s="1"/>
      <c r="C1" s="1"/>
      <c r="D1" s="1"/>
      <c r="E1" s="1"/>
      <c r="F1" s="1"/>
      <c r="G1" s="1"/>
      <c r="H1" s="1"/>
      <c r="I1" s="1"/>
      <c r="J1" s="1"/>
      <c r="K1" s="1"/>
      <c r="L1" s="1"/>
      <c r="M1" s="1"/>
    </row>
    <row r="2" customFormat="false" ht="24" hidden="false" customHeight="true" outlineLevel="0" collapsed="false">
      <c r="A2" s="2" t="s">
        <v>27</v>
      </c>
      <c r="B2" s="2"/>
      <c r="C2" s="2"/>
      <c r="D2" s="2"/>
      <c r="E2" s="2"/>
      <c r="F2" s="2"/>
      <c r="G2" s="2"/>
      <c r="H2" s="2"/>
      <c r="I2" s="2"/>
      <c r="J2" s="2"/>
      <c r="K2" s="2"/>
      <c r="L2" s="2"/>
      <c r="M2" s="2"/>
    </row>
    <row r="4" customFormat="false" ht="21.75" hidden="false" customHeight="true" outlineLevel="0" collapsed="false">
      <c r="A4" s="7" t="s">
        <v>28</v>
      </c>
      <c r="B4" s="7"/>
      <c r="C4" s="7"/>
      <c r="D4" s="7"/>
      <c r="E4" s="7"/>
      <c r="F4" s="7"/>
      <c r="G4" s="7"/>
      <c r="H4" s="7"/>
      <c r="I4" s="7"/>
      <c r="J4" s="7"/>
      <c r="K4" s="7"/>
      <c r="L4" s="7"/>
      <c r="M4" s="7"/>
    </row>
    <row r="5" customFormat="false" ht="30" hidden="false" customHeight="true" outlineLevel="0" collapsed="false">
      <c r="A5" s="8" t="s">
        <v>7</v>
      </c>
      <c r="B5" s="8" t="s">
        <v>8</v>
      </c>
      <c r="C5" s="8" t="s">
        <v>9</v>
      </c>
      <c r="D5" s="8" t="s">
        <v>10</v>
      </c>
      <c r="E5" s="8" t="s">
        <v>11</v>
      </c>
      <c r="F5" s="8" t="s">
        <v>12</v>
      </c>
      <c r="G5" s="8" t="s">
        <v>13</v>
      </c>
      <c r="H5" s="8" t="s">
        <v>29</v>
      </c>
      <c r="I5" s="8" t="s">
        <v>15</v>
      </c>
      <c r="J5" s="8" t="s">
        <v>14</v>
      </c>
      <c r="K5" s="8" t="s">
        <v>30</v>
      </c>
      <c r="L5" s="8" t="s">
        <v>31</v>
      </c>
      <c r="M5" s="8" t="s">
        <v>32</v>
      </c>
    </row>
    <row r="6" customFormat="false" ht="15" hidden="false" customHeight="false" outlineLevel="0" collapsed="false">
      <c r="A6" s="9" t="n">
        <v>2022</v>
      </c>
      <c r="B6" s="11" t="n">
        <f aca="false">SUMIFS('Results Data'!$B$4:$B$418,'Results Data'!$A$4:$A$418,A6,'Results Data'!$S$4:$S$418,1)</f>
        <v>5</v>
      </c>
      <c r="C6" s="11" t="n">
        <f aca="false">COUNTIFS('Results Data'!$A$4:$A$418,A6,'Results Data'!$P$4:$P$418,1)</f>
        <v>43</v>
      </c>
      <c r="D6" s="12" t="n">
        <f aca="false">SUMIFS('Results Data'!$E$4:$E$418,'Results Data'!$A$4:$A$418,A6,'Results Data'!$S$4:$S$418,1)</f>
        <v>646</v>
      </c>
      <c r="E6" s="12" t="n">
        <f aca="false">_xlfn.MAXIFS('Results Data'!$E$4:$E$418,'Results Data'!$A$4:$A$418,A6,'Results Data'!$P$4:$P$418,1)</f>
        <v>847</v>
      </c>
      <c r="F6" s="12" t="n">
        <f aca="false">AVERAGEIFS('Results Data'!$E$4:$E$418,'Results Data'!$A$4:$A$418,A6,'Results Data'!$P$4:$P$418,1)</f>
        <v>245.246511627907</v>
      </c>
      <c r="G6" s="13" t="n">
        <f aca="false">D6-E6</f>
        <v>-201</v>
      </c>
      <c r="H6" s="26" t="n">
        <f aca="false">D6/E6</f>
        <v>0.762691853600945</v>
      </c>
      <c r="I6" s="26" t="n">
        <f aca="false">1-(B6-1)/(C6-1)</f>
        <v>0.904761904761905</v>
      </c>
      <c r="J6" s="14" t="n">
        <f aca="false">D6-F6</f>
        <v>400.753488372093</v>
      </c>
      <c r="K6" s="12" t="n">
        <v>178.2</v>
      </c>
      <c r="L6" s="27" t="s">
        <v>33</v>
      </c>
      <c r="M6" s="12" t="n">
        <v>272.3</v>
      </c>
    </row>
    <row r="7" customFormat="false" ht="15" hidden="false" customHeight="false" outlineLevel="0" collapsed="false">
      <c r="A7" s="9" t="n">
        <v>2023</v>
      </c>
      <c r="B7" s="11" t="n">
        <f aca="false">SUMIFS('Results Data'!$B$4:$B$418,'Results Data'!$A$4:$A$418,A7,'Results Data'!$S$4:$S$418,1)</f>
        <v>2</v>
      </c>
      <c r="C7" s="11" t="n">
        <f aca="false">COUNTIFS('Results Data'!$A$4:$A$418,A7,'Results Data'!$P$4:$P$418,1)</f>
        <v>61</v>
      </c>
      <c r="D7" s="12" t="n">
        <f aca="false">SUMIFS('Results Data'!$E$4:$E$418,'Results Data'!$A$4:$A$418,A7,'Results Data'!$S$4:$S$418,1)</f>
        <v>762.4</v>
      </c>
      <c r="E7" s="12" t="n">
        <f aca="false">_xlfn.MAXIFS('Results Data'!$E$4:$E$418,'Results Data'!$A$4:$A$418,A7,'Results Data'!$P$4:$P$418,1)</f>
        <v>919.1</v>
      </c>
      <c r="F7" s="12" t="n">
        <f aca="false">AVERAGEIFS('Results Data'!$E$4:$E$418,'Results Data'!$A$4:$A$418,A7,'Results Data'!$P$4:$P$418,1)</f>
        <v>281.086885245902</v>
      </c>
      <c r="G7" s="13" t="n">
        <f aca="false">D7-E7</f>
        <v>-156.7</v>
      </c>
      <c r="H7" s="26" t="n">
        <f aca="false">D7/E7</f>
        <v>0.829507126536829</v>
      </c>
      <c r="I7" s="26" t="n">
        <f aca="false">1-(B7-1)/(C7-1)</f>
        <v>0.983333333333333</v>
      </c>
      <c r="J7" s="14" t="n">
        <f aca="false">D7-F7</f>
        <v>481.313114754098</v>
      </c>
      <c r="K7" s="12" t="n">
        <v>190.6</v>
      </c>
      <c r="L7" s="27" t="s">
        <v>34</v>
      </c>
      <c r="M7" s="12" t="n">
        <v>545.1</v>
      </c>
    </row>
    <row r="8" customFormat="false" ht="15" hidden="false" customHeight="false" outlineLevel="0" collapsed="false">
      <c r="A8" s="9" t="n">
        <v>2024</v>
      </c>
      <c r="B8" s="11" t="n">
        <f aca="false">SUMIFS('Results Data'!$B$4:$B$418,'Results Data'!$A$4:$A$418,A8,'Results Data'!$S$4:$S$418,1)</f>
        <v>14</v>
      </c>
      <c r="C8" s="11" t="n">
        <f aca="false">COUNTIFS('Results Data'!$A$4:$A$418,A8,'Results Data'!$P$4:$P$418,1)</f>
        <v>70</v>
      </c>
      <c r="D8" s="12" t="n">
        <f aca="false">SUMIFS('Results Data'!$E$4:$E$418,'Results Data'!$A$4:$A$418,A8,'Results Data'!$S$4:$S$418,1)</f>
        <v>589.9</v>
      </c>
      <c r="E8" s="12" t="n">
        <f aca="false">_xlfn.MAXIFS('Results Data'!$E$4:$E$418,'Results Data'!$A$4:$A$418,A8,'Results Data'!$P$4:$P$418,1)</f>
        <v>760.6</v>
      </c>
      <c r="F8" s="12" t="n">
        <f aca="false">AVERAGEIFS('Results Data'!$E$4:$E$418,'Results Data'!$A$4:$A$418,A8,'Results Data'!$P$4:$P$418,1)</f>
        <v>323.397142857143</v>
      </c>
      <c r="G8" s="13" t="n">
        <f aca="false">D8-E8</f>
        <v>-170.7</v>
      </c>
      <c r="H8" s="26" t="n">
        <f aca="false">D8/E8</f>
        <v>0.775571916907704</v>
      </c>
      <c r="I8" s="26" t="n">
        <f aca="false">1-(B8-1)/(C8-1)</f>
        <v>0.811594202898551</v>
      </c>
      <c r="J8" s="14" t="n">
        <f aca="false">D8-F8</f>
        <v>266.502857142857</v>
      </c>
      <c r="K8" s="12" t="n">
        <v>218.8</v>
      </c>
      <c r="L8" s="27" t="s">
        <v>35</v>
      </c>
      <c r="M8" s="12" t="n">
        <v>682.7</v>
      </c>
    </row>
    <row r="9" customFormat="false" ht="15" hidden="false" customHeight="false" outlineLevel="0" collapsed="false">
      <c r="A9" s="9" t="n">
        <v>2025</v>
      </c>
      <c r="B9" s="11" t="n">
        <f aca="false">SUMIFS('Results Data'!$B$4:$B$418,'Results Data'!$A$4:$A$418,A9,'Results Data'!$S$4:$S$418,1)</f>
        <v>13</v>
      </c>
      <c r="C9" s="11" t="n">
        <f aca="false">COUNTIFS('Results Data'!$A$4:$A$418,A9,'Results Data'!$P$4:$P$418,1)</f>
        <v>78</v>
      </c>
      <c r="D9" s="12" t="n">
        <f aca="false">SUMIFS('Results Data'!$E$4:$E$418,'Results Data'!$A$4:$A$418,A9,'Results Data'!$S$4:$S$418,1)</f>
        <v>518</v>
      </c>
      <c r="E9" s="12" t="n">
        <f aca="false">_xlfn.MAXIFS('Results Data'!$E$4:$E$418,'Results Data'!$A$4:$A$418,A9,'Results Data'!$P$4:$P$418,1)</f>
        <v>790.4</v>
      </c>
      <c r="F9" s="12" t="n">
        <f aca="false">AVERAGEIFS('Results Data'!$E$4:$E$418,'Results Data'!$A$4:$A$418,A9,'Results Data'!$P$4:$P$418,1)</f>
        <v>279.869230769231</v>
      </c>
      <c r="G9" s="13" t="n">
        <f aca="false">D9-E9</f>
        <v>-272.4</v>
      </c>
      <c r="H9" s="26" t="n">
        <f aca="false">D9/E9</f>
        <v>0.655364372469636</v>
      </c>
      <c r="I9" s="26" t="n">
        <f aca="false">1-(B9-1)/(C9-1)</f>
        <v>0.844155844155844</v>
      </c>
      <c r="J9" s="14" t="n">
        <f aca="false">D9-F9</f>
        <v>238.130769230769</v>
      </c>
      <c r="K9" s="12" t="n">
        <v>196.9</v>
      </c>
      <c r="L9" s="27" t="s">
        <v>36</v>
      </c>
      <c r="M9" s="12" t="n">
        <v>593</v>
      </c>
    </row>
    <row r="10" customFormat="false" ht="15" hidden="false" customHeight="false" outlineLevel="0" collapsed="false">
      <c r="A10" s="9" t="n">
        <v>2026</v>
      </c>
      <c r="B10" s="11" t="n">
        <f aca="false">SUMIFS('Results Data'!$B$4:$B$418,'Results Data'!$A$4:$A$418,A10,'Results Data'!$S$4:$S$418,1)</f>
        <v>4</v>
      </c>
      <c r="C10" s="11" t="n">
        <f aca="false">COUNTIFS('Results Data'!$A$4:$A$418,A10,'Results Data'!$P$4:$P$418,1)</f>
        <v>88</v>
      </c>
      <c r="D10" s="12" t="n">
        <f aca="false">SUMIFS('Results Data'!$E$4:$E$418,'Results Data'!$A$4:$A$418,A10,'Results Data'!$S$4:$S$418,1)</f>
        <v>756.9</v>
      </c>
      <c r="E10" s="12" t="n">
        <f aca="false">_xlfn.MAXIFS('Results Data'!$E$4:$E$418,'Results Data'!$A$4:$A$418,A10,'Results Data'!$P$4:$P$418,1)</f>
        <v>895.5</v>
      </c>
      <c r="F10" s="12" t="n">
        <f aca="false">AVERAGEIFS('Results Data'!$E$4:$E$418,'Results Data'!$A$4:$A$418,A10,'Results Data'!$P$4:$P$418,1)</f>
        <v>298.657954545455</v>
      </c>
      <c r="G10" s="13" t="n">
        <f aca="false">D10-E10</f>
        <v>-138.6</v>
      </c>
      <c r="H10" s="26" t="n">
        <f aca="false">D10/E10</f>
        <v>0.845226130653266</v>
      </c>
      <c r="I10" s="26" t="n">
        <f aca="false">1-(B10-1)/(C10-1)</f>
        <v>0.96551724137931</v>
      </c>
      <c r="J10" s="14" t="n">
        <f aca="false">D10-F10</f>
        <v>458.242045454545</v>
      </c>
      <c r="K10" s="12" t="n">
        <v>221.8</v>
      </c>
      <c r="L10" s="27" t="s">
        <v>36</v>
      </c>
      <c r="M10" s="12" t="n">
        <v>671.3</v>
      </c>
    </row>
    <row r="11" customFormat="false" ht="21.75" hidden="false" customHeight="true" outlineLevel="0" collapsed="false">
      <c r="A11" s="28" t="s">
        <v>37</v>
      </c>
      <c r="B11" s="28"/>
      <c r="C11" s="28"/>
      <c r="D11" s="28"/>
      <c r="E11" s="28"/>
      <c r="F11" s="28"/>
      <c r="G11" s="28"/>
      <c r="H11" s="28"/>
      <c r="I11" s="28"/>
      <c r="J11" s="28"/>
      <c r="K11" s="28"/>
      <c r="L11" s="28"/>
      <c r="M11" s="28"/>
    </row>
    <row r="13" customFormat="false" ht="21.75" hidden="false" customHeight="true" outlineLevel="0" collapsed="false">
      <c r="A13" s="7" t="s">
        <v>38</v>
      </c>
      <c r="B13" s="7"/>
      <c r="C13" s="7"/>
      <c r="D13" s="7"/>
      <c r="E13" s="7"/>
      <c r="F13" s="7"/>
      <c r="G13" s="7"/>
      <c r="H13" s="7"/>
      <c r="I13" s="7"/>
      <c r="J13" s="7"/>
      <c r="K13" s="7"/>
      <c r="L13" s="7"/>
      <c r="M13" s="7"/>
    </row>
    <row r="14" customFormat="false" ht="30" hidden="false" customHeight="true" outlineLevel="0" collapsed="false">
      <c r="A14" s="8" t="s">
        <v>39</v>
      </c>
      <c r="B14" s="8" t="s">
        <v>40</v>
      </c>
      <c r="C14" s="8" t="s">
        <v>41</v>
      </c>
      <c r="D14" s="8" t="s">
        <v>42</v>
      </c>
      <c r="E14" s="8" t="s">
        <v>43</v>
      </c>
      <c r="F14" s="8" t="s">
        <v>44</v>
      </c>
      <c r="G14" s="8" t="s">
        <v>45</v>
      </c>
      <c r="H14" s="8" t="s">
        <v>46</v>
      </c>
      <c r="I14" s="29"/>
      <c r="J14" s="29"/>
      <c r="K14" s="29"/>
      <c r="L14" s="29"/>
      <c r="M14" s="29"/>
    </row>
    <row r="15" customFormat="false" ht="15" hidden="false" customHeight="false" outlineLevel="0" collapsed="false">
      <c r="A15" s="30" t="s">
        <v>16</v>
      </c>
      <c r="B15" s="31" t="n">
        <v>100</v>
      </c>
      <c r="C15" s="12" t="n">
        <f aca="false">SUMIFS('Results Data'!$F$4:$F$418,'Results Data'!$A$4:$A$418,2022,'Results Data'!$S$4:$S$418,1)</f>
        <v>84.21</v>
      </c>
      <c r="D15" s="12" t="n">
        <f aca="false">SUMIFS('Results Data'!$F$4:$F$418,'Results Data'!$A$4:$A$418,2023,'Results Data'!$S$4:$S$418,1)</f>
        <v>77.4</v>
      </c>
      <c r="E15" s="12" t="n">
        <f aca="false">SUMIFS('Results Data'!$F$4:$F$418,'Results Data'!$A$4:$A$418,2024,'Results Data'!$S$4:$S$418,1)</f>
        <v>51</v>
      </c>
      <c r="F15" s="12" t="n">
        <f aca="false">SUMIFS('Results Data'!$F$4:$F$418,'Results Data'!$A$4:$A$418,2025,'Results Data'!$S$4:$S$418,1)</f>
        <v>90.22</v>
      </c>
      <c r="G15" s="12" t="n">
        <f aca="false">SUMIFS('Results Data'!$F$4:$F$418,'Results Data'!$A$4:$A$418,2026,'Results Data'!$S$4:$S$418,1)</f>
        <v>98</v>
      </c>
      <c r="H15" s="31" t="str">
        <f aca="false">INDEX($C$14:$G$14,MATCH(MAX(C15:G15),C15:G15,0))</f>
        <v>2026</v>
      </c>
    </row>
    <row r="16" customFormat="false" ht="15" hidden="false" customHeight="false" outlineLevel="0" collapsed="false">
      <c r="A16" s="30" t="s">
        <v>47</v>
      </c>
      <c r="B16" s="31" t="n">
        <v>75</v>
      </c>
      <c r="C16" s="12" t="n">
        <f aca="false">SUMIFS('Results Data'!$G$4:$G$418,'Results Data'!$A$4:$A$418,2022,'Results Data'!$S$4:$S$418,1)</f>
        <v>73.8</v>
      </c>
      <c r="D16" s="12" t="n">
        <f aca="false">SUMIFS('Results Data'!$G$4:$G$418,'Results Data'!$A$4:$A$418,2023,'Results Data'!$S$4:$S$418,1)</f>
        <v>49.5</v>
      </c>
      <c r="E16" s="12" t="n">
        <f aca="false">SUMIFS('Results Data'!$G$4:$G$418,'Results Data'!$A$4:$A$418,2024,'Results Data'!$S$4:$S$418,1)</f>
        <v>61.8</v>
      </c>
      <c r="F16" s="12" t="n">
        <f aca="false">SUMIFS('Results Data'!$G$4:$G$418,'Results Data'!$A$4:$A$418,2025,'Results Data'!$S$4:$S$418,1)</f>
        <v>49.9</v>
      </c>
      <c r="G16" s="12" t="n">
        <f aca="false">SUMIFS('Results Data'!$G$4:$G$418,'Results Data'!$A$4:$A$418,2026,'Results Data'!$S$4:$S$418,1)</f>
        <v>30.2</v>
      </c>
      <c r="H16" s="31" t="str">
        <f aca="false">INDEX($C$14:$G$14,MATCH(MAX(C16:G16),C16:G16,0))</f>
        <v>2022</v>
      </c>
    </row>
    <row r="17" customFormat="false" ht="15" hidden="false" customHeight="false" outlineLevel="0" collapsed="false">
      <c r="A17" s="30" t="s">
        <v>17</v>
      </c>
      <c r="B17" s="31" t="n">
        <v>150</v>
      </c>
      <c r="C17" s="12" t="n">
        <f aca="false">SUMIFS('Results Data'!$H$4:$H$418,'Results Data'!$A$4:$A$418,2022,'Results Data'!$S$4:$S$418,1)</f>
        <v>145</v>
      </c>
      <c r="D17" s="12" t="n">
        <f aca="false">SUMIFS('Results Data'!$H$4:$H$418,'Results Data'!$A$4:$A$418,2023,'Results Data'!$S$4:$S$418,1)</f>
        <v>113</v>
      </c>
      <c r="E17" s="12" t="n">
        <f aca="false">SUMIFS('Results Data'!$H$4:$H$418,'Results Data'!$A$4:$A$418,2024,'Results Data'!$S$4:$S$418,1)</f>
        <v>75</v>
      </c>
      <c r="F17" s="12" t="n">
        <f aca="false">SUMIFS('Results Data'!$H$4:$H$418,'Results Data'!$A$4:$A$418,2025,'Results Data'!$S$4:$S$418,1)</f>
        <v>130</v>
      </c>
      <c r="G17" s="12" t="n">
        <f aca="false">SUMIFS('Results Data'!$H$4:$H$418,'Results Data'!$A$4:$A$418,2026,'Results Data'!$S$4:$S$418,1)</f>
        <v>143</v>
      </c>
      <c r="H17" s="31" t="str">
        <f aca="false">INDEX($C$14:$G$14,MATCH(MAX(C17:G17),C17:G17,0))</f>
        <v>2022</v>
      </c>
    </row>
    <row r="18" customFormat="false" ht="15" hidden="false" customHeight="false" outlineLevel="0" collapsed="false">
      <c r="A18" s="30" t="s">
        <v>48</v>
      </c>
      <c r="B18" s="31" t="n">
        <v>100</v>
      </c>
      <c r="C18" s="12" t="n">
        <f aca="false">SUMIFS('Results Data'!$I$4:$I$418,'Results Data'!$A$4:$A$418,2022,'Results Data'!$S$4:$S$418,1)</f>
        <v>91.35</v>
      </c>
      <c r="D18" s="12" t="n">
        <f aca="false">SUMIFS('Results Data'!$I$4:$I$418,'Results Data'!$A$4:$A$418,2023,'Results Data'!$S$4:$S$418,1)</f>
        <v>66.29</v>
      </c>
      <c r="E18" s="12" t="n">
        <f aca="false">SUMIFS('Results Data'!$I$4:$I$418,'Results Data'!$A$4:$A$418,2024,'Results Data'!$S$4:$S$418,1)</f>
        <v>51.64</v>
      </c>
      <c r="F18" s="12" t="n">
        <f aca="false">SUMIFS('Results Data'!$I$4:$I$418,'Results Data'!$A$4:$A$418,2025,'Results Data'!$S$4:$S$418,1)</f>
        <v>81.34</v>
      </c>
      <c r="G18" s="12" t="n">
        <f aca="false">SUMIFS('Results Data'!$I$4:$I$418,'Results Data'!$A$4:$A$418,2026,'Results Data'!$S$4:$S$418,1)</f>
        <v>93.7</v>
      </c>
      <c r="H18" s="31" t="str">
        <f aca="false">INDEX($C$14:$G$14,MATCH(MAX(C18:G18),C18:G18,0))</f>
        <v>2026</v>
      </c>
    </row>
    <row r="19" customFormat="false" ht="15" hidden="false" customHeight="false" outlineLevel="0" collapsed="false">
      <c r="A19" s="30" t="s">
        <v>49</v>
      </c>
      <c r="B19" s="31" t="n">
        <v>75</v>
      </c>
      <c r="C19" s="12" t="n">
        <f aca="false">SUMIFS('Results Data'!$J$4:$J$418,'Results Data'!$A$4:$A$418,2022,'Results Data'!$S$4:$S$418,1)</f>
        <v>48.48</v>
      </c>
      <c r="D19" s="12" t="n">
        <f aca="false">SUMIFS('Results Data'!$J$4:$J$418,'Results Data'!$A$4:$A$418,2023,'Results Data'!$S$4:$S$418,1)</f>
        <v>47.18</v>
      </c>
      <c r="E19" s="12" t="n">
        <f aca="false">SUMIFS('Results Data'!$J$4:$J$418,'Results Data'!$A$4:$A$418,2024,'Results Data'!$S$4:$S$418,1)</f>
        <v>50.53</v>
      </c>
      <c r="F19" s="12" t="n">
        <f aca="false">SUMIFS('Results Data'!$J$4:$J$418,'Results Data'!$A$4:$A$418,2025,'Results Data'!$S$4:$S$418,1)</f>
        <v>56.45</v>
      </c>
      <c r="G19" s="12" t="n">
        <f aca="false">SUMIFS('Results Data'!$J$4:$J$418,'Results Data'!$A$4:$A$418,2026,'Results Data'!$S$4:$S$418,1)</f>
        <v>55</v>
      </c>
      <c r="H19" s="31" t="str">
        <f aca="false">INDEX($C$14:$G$14,MATCH(MAX(C19:G19),C19:G19,0))</f>
        <v>2025</v>
      </c>
    </row>
    <row r="20" customFormat="false" ht="15" hidden="false" customHeight="false" outlineLevel="0" collapsed="false">
      <c r="A20" s="30" t="s">
        <v>50</v>
      </c>
      <c r="B20" s="31" t="n">
        <v>125</v>
      </c>
      <c r="C20" s="12" t="n">
        <f aca="false">SUMIFS('Results Data'!$K$4:$K$418,'Results Data'!$A$4:$A$418,2022,'Results Data'!$S$4:$S$418,1)</f>
        <v>92.17</v>
      </c>
      <c r="D20" s="12" t="n">
        <f aca="false">SUMIFS('Results Data'!$K$4:$K$418,'Results Data'!$A$4:$A$418,2023,'Results Data'!$S$4:$S$418,1)</f>
        <v>91.05</v>
      </c>
      <c r="E20" s="12" t="n">
        <f aca="false">SUMIFS('Results Data'!$K$4:$K$418,'Results Data'!$A$4:$A$418,2024,'Results Data'!$S$4:$S$418,1)</f>
        <v>79.22</v>
      </c>
      <c r="F20" s="12" t="n">
        <f aca="false">SUMIFS('Results Data'!$K$4:$K$418,'Results Data'!$A$4:$A$418,2025,'Results Data'!$S$4:$S$418,1)</f>
        <v>89.03</v>
      </c>
      <c r="G20" s="12" t="n">
        <f aca="false">SUMIFS('Results Data'!$K$4:$K$418,'Results Data'!$A$4:$A$418,2026,'Results Data'!$S$4:$S$418,1)</f>
        <v>109.4</v>
      </c>
      <c r="H20" s="31" t="str">
        <f aca="false">INDEX($C$14:$G$14,MATCH(MAX(C20:G20),C20:G20,0))</f>
        <v>2026</v>
      </c>
    </row>
    <row r="21" customFormat="false" ht="15" hidden="false" customHeight="false" outlineLevel="0" collapsed="false">
      <c r="A21" s="30" t="s">
        <v>18</v>
      </c>
      <c r="B21" s="31" t="n">
        <v>275</v>
      </c>
      <c r="C21" s="12" t="n">
        <f aca="false">SUMIFS('Results Data'!$L$4:$L$418,'Results Data'!$A$4:$A$418,2022,'Results Data'!$S$4:$S$418,1)</f>
        <v>16</v>
      </c>
      <c r="D21" s="12" t="n">
        <f aca="false">SUMIFS('Results Data'!$L$4:$L$418,'Results Data'!$A$4:$A$418,2023,'Results Data'!$S$4:$S$418,1)</f>
        <v>226.6</v>
      </c>
      <c r="E21" s="12" t="n">
        <f aca="false">SUMIFS('Results Data'!$L$4:$L$418,'Results Data'!$A$4:$A$418,2024,'Results Data'!$S$4:$S$418,1)</f>
        <v>186.5</v>
      </c>
      <c r="F21" s="12" t="n">
        <f aca="false">SUMIFS('Results Data'!$L$4:$L$418,'Results Data'!$A$4:$A$418,2025,'Results Data'!$S$4:$S$418,1)</f>
        <v>21</v>
      </c>
      <c r="G21" s="12" t="n">
        <f aca="false">SUMIFS('Results Data'!$L$4:$L$418,'Results Data'!$A$4:$A$418,2026,'Results Data'!$S$4:$S$418,1)</f>
        <v>186.2</v>
      </c>
      <c r="H21" s="31" t="str">
        <f aca="false">INDEX($C$14:$G$14,MATCH(MAX(C21:G21),C21:G21,0))</f>
        <v>2023</v>
      </c>
    </row>
    <row r="22" customFormat="false" ht="15" hidden="false" customHeight="false" outlineLevel="0" collapsed="false">
      <c r="A22" s="30" t="s">
        <v>51</v>
      </c>
      <c r="B22" s="31" t="n">
        <v>100</v>
      </c>
      <c r="C22" s="12" t="n">
        <f aca="false">SUMIFS('Results Data'!$M$4:$M$418,'Results Data'!$A$4:$A$418,2022,'Results Data'!$S$4:$S$418,1)</f>
        <v>95</v>
      </c>
      <c r="D22" s="12" t="n">
        <f aca="false">SUMIFS('Results Data'!$M$4:$M$418,'Results Data'!$A$4:$A$418,2023,'Results Data'!$S$4:$S$418,1)</f>
        <v>91.4</v>
      </c>
      <c r="E22" s="12" t="n">
        <f aca="false">SUMIFS('Results Data'!$M$4:$M$418,'Results Data'!$A$4:$A$418,2024,'Results Data'!$S$4:$S$418,1)</f>
        <v>34.3</v>
      </c>
      <c r="F22" s="12" t="n">
        <f aca="false">SUMIFS('Results Data'!$M$4:$M$418,'Results Data'!$A$4:$A$418,2025,'Results Data'!$S$4:$S$418,1)</f>
        <v>0</v>
      </c>
      <c r="G22" s="12" t="n">
        <f aca="false">SUMIFS('Results Data'!$M$4:$M$418,'Results Data'!$A$4:$A$418,2026,'Results Data'!$S$4:$S$418,1)</f>
        <v>41.4</v>
      </c>
      <c r="H22" s="31" t="str">
        <f aca="false">INDEX($C$14:$G$14,MATCH(MAX(C22:G22),C22:G22,0))</f>
        <v>2022</v>
      </c>
    </row>
    <row r="24" customFormat="false" ht="21.75" hidden="false" customHeight="true" outlineLevel="0" collapsed="false">
      <c r="A24" s="7" t="s">
        <v>52</v>
      </c>
      <c r="B24" s="7"/>
      <c r="C24" s="7"/>
      <c r="D24" s="7"/>
      <c r="E24" s="7"/>
      <c r="F24" s="7"/>
      <c r="G24" s="7"/>
      <c r="H24" s="7"/>
      <c r="I24" s="7"/>
      <c r="J24" s="7"/>
      <c r="K24" s="7"/>
      <c r="L24" s="7"/>
      <c r="M24" s="7"/>
    </row>
    <row r="25" customFormat="false" ht="30" hidden="false" customHeight="true" outlineLevel="0" collapsed="false">
      <c r="A25" s="8" t="s">
        <v>39</v>
      </c>
      <c r="B25" s="8"/>
      <c r="C25" s="8" t="s">
        <v>41</v>
      </c>
      <c r="D25" s="8" t="s">
        <v>42</v>
      </c>
      <c r="E25" s="8" t="s">
        <v>43</v>
      </c>
      <c r="F25" s="8" t="s">
        <v>44</v>
      </c>
      <c r="G25" s="8" t="s">
        <v>45</v>
      </c>
      <c r="H25" s="29"/>
      <c r="I25" s="29"/>
      <c r="J25" s="29"/>
      <c r="K25" s="29"/>
      <c r="L25" s="29"/>
      <c r="M25" s="29"/>
    </row>
    <row r="26" customFormat="false" ht="15" hidden="false" customHeight="false" outlineLevel="0" collapsed="false">
      <c r="A26" s="30" t="s">
        <v>16</v>
      </c>
      <c r="B26" s="27"/>
      <c r="C26" s="15" t="n">
        <f aca="false">C15/$B15</f>
        <v>0.8421</v>
      </c>
      <c r="D26" s="15" t="n">
        <f aca="false">D15/$B15</f>
        <v>0.774</v>
      </c>
      <c r="E26" s="15" t="n">
        <f aca="false">E15/$B15</f>
        <v>0.51</v>
      </c>
      <c r="F26" s="15" t="n">
        <f aca="false">F15/$B15</f>
        <v>0.9022</v>
      </c>
      <c r="G26" s="15" t="n">
        <f aca="false">G15/$B15</f>
        <v>0.98</v>
      </c>
    </row>
    <row r="27" customFormat="false" ht="15" hidden="false" customHeight="false" outlineLevel="0" collapsed="false">
      <c r="A27" s="30" t="s">
        <v>47</v>
      </c>
      <c r="B27" s="27"/>
      <c r="C27" s="15" t="n">
        <f aca="false">C16/$B16</f>
        <v>0.984</v>
      </c>
      <c r="D27" s="15" t="n">
        <f aca="false">D16/$B16</f>
        <v>0.66</v>
      </c>
      <c r="E27" s="15" t="n">
        <f aca="false">E16/$B16</f>
        <v>0.824</v>
      </c>
      <c r="F27" s="15" t="n">
        <f aca="false">F16/$B16</f>
        <v>0.665333333333333</v>
      </c>
      <c r="G27" s="15" t="n">
        <f aca="false">G16/$B16</f>
        <v>0.402666666666667</v>
      </c>
    </row>
    <row r="28" customFormat="false" ht="15" hidden="false" customHeight="false" outlineLevel="0" collapsed="false">
      <c r="A28" s="30" t="s">
        <v>17</v>
      </c>
      <c r="B28" s="27"/>
      <c r="C28" s="15" t="n">
        <f aca="false">C17/$B17</f>
        <v>0.966666666666667</v>
      </c>
      <c r="D28" s="15" t="n">
        <f aca="false">D17/$B17</f>
        <v>0.753333333333333</v>
      </c>
      <c r="E28" s="15" t="n">
        <f aca="false">E17/$B17</f>
        <v>0.5</v>
      </c>
      <c r="F28" s="15" t="n">
        <f aca="false">F17/$B17</f>
        <v>0.866666666666667</v>
      </c>
      <c r="G28" s="15" t="n">
        <f aca="false">G17/$B17</f>
        <v>0.953333333333333</v>
      </c>
    </row>
    <row r="29" customFormat="false" ht="15" hidden="false" customHeight="false" outlineLevel="0" collapsed="false">
      <c r="A29" s="30" t="s">
        <v>48</v>
      </c>
      <c r="B29" s="27"/>
      <c r="C29" s="15" t="n">
        <f aca="false">C18/$B18</f>
        <v>0.9135</v>
      </c>
      <c r="D29" s="15" t="n">
        <f aca="false">D18/$B18</f>
        <v>0.6629</v>
      </c>
      <c r="E29" s="15" t="n">
        <f aca="false">E18/$B18</f>
        <v>0.5164</v>
      </c>
      <c r="F29" s="15" t="n">
        <f aca="false">F18/$B18</f>
        <v>0.8134</v>
      </c>
      <c r="G29" s="15" t="n">
        <f aca="false">G18/$B18</f>
        <v>0.937</v>
      </c>
    </row>
    <row r="30" customFormat="false" ht="15" hidden="false" customHeight="false" outlineLevel="0" collapsed="false">
      <c r="A30" s="30" t="s">
        <v>49</v>
      </c>
      <c r="B30" s="27"/>
      <c r="C30" s="15" t="n">
        <f aca="false">C19/$B19</f>
        <v>0.6464</v>
      </c>
      <c r="D30" s="15" t="n">
        <f aca="false">D19/$B19</f>
        <v>0.629066666666667</v>
      </c>
      <c r="E30" s="15" t="n">
        <f aca="false">E19/$B19</f>
        <v>0.673733333333333</v>
      </c>
      <c r="F30" s="15" t="n">
        <f aca="false">F19/$B19</f>
        <v>0.752666666666667</v>
      </c>
      <c r="G30" s="15" t="n">
        <f aca="false">G19/$B19</f>
        <v>0.733333333333333</v>
      </c>
    </row>
    <row r="31" customFormat="false" ht="15" hidden="false" customHeight="false" outlineLevel="0" collapsed="false">
      <c r="A31" s="30" t="s">
        <v>50</v>
      </c>
      <c r="B31" s="27"/>
      <c r="C31" s="15" t="n">
        <f aca="false">C20/$B20</f>
        <v>0.73736</v>
      </c>
      <c r="D31" s="15" t="n">
        <f aca="false">D20/$B20</f>
        <v>0.7284</v>
      </c>
      <c r="E31" s="15" t="n">
        <f aca="false">E20/$B20</f>
        <v>0.63376</v>
      </c>
      <c r="F31" s="15" t="n">
        <f aca="false">F20/$B20</f>
        <v>0.71224</v>
      </c>
      <c r="G31" s="15" t="n">
        <f aca="false">G20/$B20</f>
        <v>0.8752</v>
      </c>
    </row>
    <row r="32" customFormat="false" ht="15" hidden="false" customHeight="false" outlineLevel="0" collapsed="false">
      <c r="A32" s="30" t="s">
        <v>18</v>
      </c>
      <c r="B32" s="27"/>
      <c r="C32" s="15" t="n">
        <f aca="false">C21/$B21</f>
        <v>0.0581818181818182</v>
      </c>
      <c r="D32" s="15" t="n">
        <f aca="false">D21/$B21</f>
        <v>0.824</v>
      </c>
      <c r="E32" s="15" t="n">
        <f aca="false">E21/$B21</f>
        <v>0.678181818181818</v>
      </c>
      <c r="F32" s="15" t="n">
        <f aca="false">F21/$B21</f>
        <v>0.0763636363636364</v>
      </c>
      <c r="G32" s="15" t="n">
        <f aca="false">G21/$B21</f>
        <v>0.677090909090909</v>
      </c>
    </row>
    <row r="33" customFormat="false" ht="15" hidden="false" customHeight="false" outlineLevel="0" collapsed="false">
      <c r="A33" s="30" t="s">
        <v>51</v>
      </c>
      <c r="B33" s="27"/>
      <c r="C33" s="15" t="n">
        <f aca="false">C22/$B22</f>
        <v>0.95</v>
      </c>
      <c r="D33" s="15" t="n">
        <f aca="false">D22/$B22</f>
        <v>0.914</v>
      </c>
      <c r="E33" s="15" t="n">
        <f aca="false">E22/$B22</f>
        <v>0.343</v>
      </c>
      <c r="F33" s="15" t="n">
        <f aca="false">F22/$B22</f>
        <v>0</v>
      </c>
      <c r="G33" s="15" t="n">
        <f aca="false">G22/$B22</f>
        <v>0.414</v>
      </c>
    </row>
    <row r="35" customFormat="false" ht="18" hidden="false" customHeight="true" outlineLevel="0" collapsed="false">
      <c r="A35" s="28" t="s">
        <v>53</v>
      </c>
      <c r="B35" s="28"/>
      <c r="C35" s="28"/>
      <c r="D35" s="28"/>
      <c r="E35" s="28"/>
      <c r="F35" s="28"/>
      <c r="G35" s="28"/>
      <c r="H35" s="28"/>
      <c r="I35" s="28"/>
      <c r="J35" s="28"/>
      <c r="K35" s="28"/>
      <c r="L35" s="28"/>
      <c r="M35" s="28"/>
    </row>
  </sheetData>
  <mergeCells count="7">
    <mergeCell ref="A1:M1"/>
    <mergeCell ref="A2:M2"/>
    <mergeCell ref="A4:M4"/>
    <mergeCell ref="A11:M11"/>
    <mergeCell ref="A13:M13"/>
    <mergeCell ref="A24:M24"/>
    <mergeCell ref="A35:M35"/>
  </mergeCells>
  <conditionalFormatting sqref="C26:G33">
    <cfRule type="colorScale" priority="2">
      <colorScale>
        <cfvo type="num" val="0"/>
        <cfvo type="num" val="0.6"/>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14213D"/>
    <pageSetUpPr fitToPage="true"/>
  </sheetPr>
  <dimension ref="A1:J7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16"/>
    <col collapsed="false" customWidth="true" hidden="false" outlineLevel="0" max="2" min="2" style="0" width="9"/>
    <col collapsed="false" customWidth="true" hidden="false" outlineLevel="0" max="3" min="3" style="0" width="10.99"/>
    <col collapsed="false" customWidth="true" hidden="false" outlineLevel="0" max="6" min="4" style="0" width="10"/>
    <col collapsed="false" customWidth="true" hidden="false" outlineLevel="0" max="8" min="7" style="0" width="11.99"/>
    <col collapsed="false" customWidth="true" hidden="false" outlineLevel="0" max="9" min="9" style="0" width="32"/>
    <col collapsed="false" customWidth="true" hidden="false" outlineLevel="0" max="10" min="10" style="0" width="16"/>
  </cols>
  <sheetData>
    <row r="1" customFormat="false" ht="33.75" hidden="false" customHeight="true" outlineLevel="0" collapsed="false">
      <c r="A1" s="1" t="s">
        <v>54</v>
      </c>
      <c r="B1" s="1"/>
      <c r="C1" s="1"/>
      <c r="D1" s="1"/>
      <c r="E1" s="1"/>
      <c r="F1" s="1"/>
      <c r="G1" s="1"/>
      <c r="H1" s="1"/>
      <c r="I1" s="1"/>
      <c r="J1" s="1"/>
    </row>
    <row r="2" customFormat="false" ht="24" hidden="false" customHeight="true" outlineLevel="0" collapsed="false">
      <c r="A2" s="2" t="s">
        <v>55</v>
      </c>
      <c r="B2" s="2"/>
      <c r="C2" s="2"/>
      <c r="D2" s="2"/>
      <c r="E2" s="2"/>
      <c r="F2" s="2"/>
      <c r="G2" s="2"/>
      <c r="H2" s="2"/>
      <c r="I2" s="2"/>
      <c r="J2" s="2"/>
    </row>
    <row r="4" customFormat="false" ht="21.75" hidden="false" customHeight="true" outlineLevel="0" collapsed="false">
      <c r="A4" s="7" t="s">
        <v>56</v>
      </c>
      <c r="B4" s="7"/>
      <c r="C4" s="7"/>
      <c r="D4" s="7"/>
      <c r="E4" s="7"/>
      <c r="F4" s="7"/>
      <c r="G4" s="7"/>
      <c r="H4" s="7"/>
      <c r="I4" s="7"/>
      <c r="J4" s="7"/>
    </row>
    <row r="5" customFormat="false" ht="31.5" hidden="false" customHeight="true" outlineLevel="0" collapsed="false">
      <c r="A5" s="8" t="s">
        <v>39</v>
      </c>
      <c r="B5" s="8" t="s">
        <v>40</v>
      </c>
      <c r="C5" s="8" t="s">
        <v>10</v>
      </c>
      <c r="D5" s="8" t="s">
        <v>57</v>
      </c>
      <c r="E5" s="8" t="s">
        <v>58</v>
      </c>
      <c r="F5" s="8" t="s">
        <v>59</v>
      </c>
      <c r="G5" s="8" t="s">
        <v>60</v>
      </c>
      <c r="H5" s="8" t="s">
        <v>61</v>
      </c>
      <c r="I5" s="8" t="s">
        <v>62</v>
      </c>
      <c r="J5" s="8" t="s">
        <v>63</v>
      </c>
    </row>
    <row r="6" customFormat="false" ht="15" hidden="false" customHeight="false" outlineLevel="0" collapsed="false">
      <c r="A6" s="30" t="s">
        <v>16</v>
      </c>
      <c r="B6" s="31" t="n">
        <v>100</v>
      </c>
      <c r="C6" s="12" t="n">
        <v>84.21</v>
      </c>
      <c r="D6" s="15" t="n">
        <f aca="false">C6/B6</f>
        <v>0.8421</v>
      </c>
      <c r="E6" s="11" t="n">
        <v>6</v>
      </c>
      <c r="F6" s="11" t="n">
        <v>36</v>
      </c>
      <c r="G6" s="15" t="n">
        <f aca="false">1-(E6-1)/(F6-1)</f>
        <v>0.857142857142857</v>
      </c>
      <c r="H6" s="12" t="n">
        <v>62.1</v>
      </c>
      <c r="I6" s="27" t="s">
        <v>64</v>
      </c>
      <c r="J6" s="11" t="n">
        <v>6</v>
      </c>
    </row>
    <row r="7" customFormat="false" ht="15" hidden="false" customHeight="false" outlineLevel="0" collapsed="false">
      <c r="A7" s="30" t="s">
        <v>47</v>
      </c>
      <c r="B7" s="31" t="n">
        <v>75</v>
      </c>
      <c r="C7" s="12" t="n">
        <v>73.8</v>
      </c>
      <c r="D7" s="15" t="n">
        <f aca="false">C7/B7</f>
        <v>0.984</v>
      </c>
      <c r="E7" s="11" t="n">
        <v>2</v>
      </c>
      <c r="F7" s="11" t="n">
        <v>56</v>
      </c>
      <c r="G7" s="15" t="n">
        <f aca="false">1-(E7-1)/(F7-1)</f>
        <v>0.981818181818182</v>
      </c>
      <c r="H7" s="12" t="n">
        <v>59.6</v>
      </c>
      <c r="I7" s="27" t="s">
        <v>65</v>
      </c>
      <c r="J7" s="11" t="n">
        <v>2</v>
      </c>
    </row>
    <row r="8" customFormat="false" ht="15" hidden="false" customHeight="false" outlineLevel="0" collapsed="false">
      <c r="A8" s="30" t="s">
        <v>17</v>
      </c>
      <c r="B8" s="31" t="n">
        <v>150</v>
      </c>
      <c r="C8" s="12" t="n">
        <v>145</v>
      </c>
      <c r="D8" s="15" t="n">
        <f aca="false">C8/B8</f>
        <v>0.966666666666667</v>
      </c>
      <c r="E8" s="11" t="n">
        <v>2</v>
      </c>
      <c r="F8" s="11" t="n">
        <v>40</v>
      </c>
      <c r="G8" s="15" t="n">
        <f aca="false">1-(E8-1)/(F8-1)</f>
        <v>0.974358974358974</v>
      </c>
      <c r="H8" s="12" t="n">
        <v>75.6</v>
      </c>
      <c r="I8" s="27" t="s">
        <v>66</v>
      </c>
      <c r="J8" s="11" t="n">
        <v>2</v>
      </c>
    </row>
    <row r="9" customFormat="false" ht="15" hidden="false" customHeight="false" outlineLevel="0" collapsed="false">
      <c r="A9" s="30" t="s">
        <v>48</v>
      </c>
      <c r="B9" s="31" t="n">
        <v>100</v>
      </c>
      <c r="C9" s="12" t="n">
        <v>91.35</v>
      </c>
      <c r="D9" s="15" t="n">
        <f aca="false">C9/B9</f>
        <v>0.9135</v>
      </c>
      <c r="E9" s="11" t="n">
        <v>4</v>
      </c>
      <c r="F9" s="11" t="n">
        <v>6</v>
      </c>
      <c r="G9" s="15" t="n">
        <f aca="false">1-(E9-1)/(F9-1)</f>
        <v>0.4</v>
      </c>
      <c r="H9" s="12" t="n">
        <v>79.6</v>
      </c>
      <c r="I9" s="27" t="s">
        <v>67</v>
      </c>
      <c r="J9" s="11" t="n">
        <v>5</v>
      </c>
    </row>
    <row r="10" customFormat="false" ht="15" hidden="false" customHeight="false" outlineLevel="0" collapsed="false">
      <c r="A10" s="30" t="s">
        <v>49</v>
      </c>
      <c r="B10" s="31" t="n">
        <v>75</v>
      </c>
      <c r="C10" s="12" t="n">
        <v>48.48</v>
      </c>
      <c r="D10" s="15" t="n">
        <f aca="false">C10/B10</f>
        <v>0.6464</v>
      </c>
      <c r="E10" s="11" t="n">
        <v>5</v>
      </c>
      <c r="F10" s="11" t="n">
        <v>8</v>
      </c>
      <c r="G10" s="15" t="n">
        <f aca="false">1-(E10-1)/(F10-1)</f>
        <v>0.5</v>
      </c>
      <c r="H10" s="12" t="n">
        <v>45.9</v>
      </c>
      <c r="I10" s="27" t="s">
        <v>68</v>
      </c>
      <c r="J10" s="11" t="n">
        <v>5</v>
      </c>
    </row>
    <row r="11" customFormat="false" ht="15" hidden="false" customHeight="false" outlineLevel="0" collapsed="false">
      <c r="A11" s="30" t="s">
        <v>50</v>
      </c>
      <c r="B11" s="31" t="n">
        <v>125</v>
      </c>
      <c r="C11" s="12" t="n">
        <v>92.17</v>
      </c>
      <c r="D11" s="15" t="n">
        <f aca="false">C11/B11</f>
        <v>0.73736</v>
      </c>
      <c r="E11" s="11" t="n">
        <v>5</v>
      </c>
      <c r="F11" s="11" t="n">
        <v>8</v>
      </c>
      <c r="G11" s="15" t="n">
        <f aca="false">1-(E11-1)/(F11-1)</f>
        <v>0.428571428571429</v>
      </c>
      <c r="H11" s="12" t="n">
        <v>77.3</v>
      </c>
      <c r="I11" s="27" t="s">
        <v>69</v>
      </c>
      <c r="J11" s="11" t="n">
        <v>6</v>
      </c>
    </row>
    <row r="12" customFormat="false" ht="15" hidden="false" customHeight="false" outlineLevel="0" collapsed="false">
      <c r="A12" s="30" t="s">
        <v>18</v>
      </c>
      <c r="B12" s="31" t="n">
        <v>275</v>
      </c>
      <c r="C12" s="12" t="n">
        <v>16</v>
      </c>
      <c r="D12" s="15" t="n">
        <f aca="false">C12/B12</f>
        <v>0.0581818181818182</v>
      </c>
      <c r="E12" s="11" t="n">
        <v>8</v>
      </c>
      <c r="F12" s="11" t="n">
        <v>11</v>
      </c>
      <c r="G12" s="15" t="n">
        <f aca="false">1-(E12-1)/(F12-1)</f>
        <v>0.3</v>
      </c>
      <c r="H12" s="12" t="n">
        <v>63.1</v>
      </c>
      <c r="I12" s="27" t="s">
        <v>70</v>
      </c>
      <c r="J12" s="11" t="n">
        <v>7</v>
      </c>
    </row>
    <row r="13" customFormat="false" ht="15" hidden="false" customHeight="false" outlineLevel="0" collapsed="false">
      <c r="A13" s="30" t="s">
        <v>51</v>
      </c>
      <c r="B13" s="31" t="n">
        <v>100</v>
      </c>
      <c r="C13" s="12" t="n">
        <v>95</v>
      </c>
      <c r="D13" s="15" t="n">
        <f aca="false">C13/B13</f>
        <v>0.95</v>
      </c>
      <c r="E13" s="11" t="n">
        <v>3</v>
      </c>
      <c r="F13" s="11" t="n">
        <v>7</v>
      </c>
      <c r="G13" s="15" t="n">
        <f aca="false">1-(E13-1)/(F13-1)</f>
        <v>0.666666666666667</v>
      </c>
      <c r="H13" s="12" t="n">
        <v>93</v>
      </c>
      <c r="I13" s="27" t="s">
        <v>71</v>
      </c>
      <c r="J13" s="32" t="s">
        <v>72</v>
      </c>
    </row>
    <row r="15" customFormat="false" ht="21.75" hidden="false" customHeight="true" outlineLevel="0" collapsed="false">
      <c r="A15" s="7" t="s">
        <v>73</v>
      </c>
      <c r="B15" s="7"/>
      <c r="C15" s="7"/>
      <c r="D15" s="7"/>
      <c r="E15" s="7"/>
      <c r="F15" s="7"/>
      <c r="G15" s="7"/>
      <c r="H15" s="7"/>
      <c r="I15" s="7"/>
      <c r="J15" s="7"/>
    </row>
    <row r="16" customFormat="false" ht="31.5" hidden="false" customHeight="true" outlineLevel="0" collapsed="false">
      <c r="A16" s="8" t="s">
        <v>39</v>
      </c>
      <c r="B16" s="8" t="s">
        <v>40</v>
      </c>
      <c r="C16" s="8" t="s">
        <v>10</v>
      </c>
      <c r="D16" s="8" t="s">
        <v>57</v>
      </c>
      <c r="E16" s="8" t="s">
        <v>58</v>
      </c>
      <c r="F16" s="8" t="s">
        <v>59</v>
      </c>
      <c r="G16" s="8" t="s">
        <v>60</v>
      </c>
      <c r="H16" s="8" t="s">
        <v>61</v>
      </c>
      <c r="I16" s="8" t="s">
        <v>62</v>
      </c>
      <c r="J16" s="8" t="s">
        <v>63</v>
      </c>
    </row>
    <row r="17" customFormat="false" ht="15" hidden="false" customHeight="false" outlineLevel="0" collapsed="false">
      <c r="A17" s="30" t="s">
        <v>16</v>
      </c>
      <c r="B17" s="31" t="n">
        <v>100</v>
      </c>
      <c r="C17" s="12" t="n">
        <v>77.4</v>
      </c>
      <c r="D17" s="15" t="n">
        <f aca="false">C17/B17</f>
        <v>0.774</v>
      </c>
      <c r="E17" s="11" t="n">
        <v>18</v>
      </c>
      <c r="F17" s="11" t="n">
        <v>61</v>
      </c>
      <c r="G17" s="15" t="n">
        <f aca="false">1-(E17-1)/(F17-1)</f>
        <v>0.716666666666667</v>
      </c>
      <c r="H17" s="12" t="n">
        <v>62.8</v>
      </c>
      <c r="I17" s="27" t="s">
        <v>74</v>
      </c>
      <c r="J17" s="11" t="n">
        <v>18</v>
      </c>
    </row>
    <row r="18" customFormat="false" ht="15" hidden="false" customHeight="false" outlineLevel="0" collapsed="false">
      <c r="A18" s="30" t="s">
        <v>47</v>
      </c>
      <c r="B18" s="31" t="n">
        <v>75</v>
      </c>
      <c r="C18" s="12" t="n">
        <v>49.5</v>
      </c>
      <c r="D18" s="15" t="n">
        <f aca="false">C18/B18</f>
        <v>0.66</v>
      </c>
      <c r="E18" s="11" t="n">
        <v>31</v>
      </c>
      <c r="F18" s="11" t="n">
        <v>68</v>
      </c>
      <c r="G18" s="15" t="n">
        <f aca="false">1-(E18-1)/(F18-1)</f>
        <v>0.552238805970149</v>
      </c>
      <c r="H18" s="12" t="n">
        <v>48.2</v>
      </c>
      <c r="I18" s="27" t="s">
        <v>75</v>
      </c>
      <c r="J18" s="11" t="n">
        <v>32</v>
      </c>
    </row>
    <row r="19" customFormat="false" ht="15" hidden="false" customHeight="false" outlineLevel="0" collapsed="false">
      <c r="A19" s="30" t="s">
        <v>17</v>
      </c>
      <c r="B19" s="31" t="n">
        <v>150</v>
      </c>
      <c r="C19" s="12" t="n">
        <v>113</v>
      </c>
      <c r="D19" s="15" t="n">
        <f aca="false">C19/B19</f>
        <v>0.753333333333333</v>
      </c>
      <c r="E19" s="11" t="n">
        <v>8</v>
      </c>
      <c r="F19" s="11" t="n">
        <v>61</v>
      </c>
      <c r="G19" s="15" t="n">
        <f aca="false">1-(E19-1)/(F19-1)</f>
        <v>0.883333333333333</v>
      </c>
      <c r="H19" s="12" t="n">
        <v>72.6</v>
      </c>
      <c r="I19" s="27" t="s">
        <v>76</v>
      </c>
      <c r="J19" s="11" t="n">
        <v>8</v>
      </c>
    </row>
    <row r="20" customFormat="false" ht="15" hidden="false" customHeight="false" outlineLevel="0" collapsed="false">
      <c r="A20" s="30" t="s">
        <v>48</v>
      </c>
      <c r="B20" s="31" t="n">
        <v>100</v>
      </c>
      <c r="C20" s="12" t="n">
        <v>66.29</v>
      </c>
      <c r="D20" s="15" t="n">
        <f aca="false">C20/B20</f>
        <v>0.6629</v>
      </c>
      <c r="E20" s="11" t="n">
        <v>4</v>
      </c>
      <c r="F20" s="11" t="n">
        <v>13</v>
      </c>
      <c r="G20" s="15" t="n">
        <f aca="false">1-(E20-1)/(F20-1)</f>
        <v>0.769230769230769</v>
      </c>
      <c r="H20" s="12" t="n">
        <v>51.2</v>
      </c>
      <c r="I20" s="27" t="s">
        <v>77</v>
      </c>
      <c r="J20" s="11" t="n">
        <v>4</v>
      </c>
    </row>
    <row r="21" customFormat="false" ht="15" hidden="false" customHeight="false" outlineLevel="0" collapsed="false">
      <c r="A21" s="30" t="s">
        <v>49</v>
      </c>
      <c r="B21" s="31" t="n">
        <v>75</v>
      </c>
      <c r="C21" s="12" t="n">
        <v>47.18</v>
      </c>
      <c r="D21" s="15" t="n">
        <f aca="false">C21/B21</f>
        <v>0.629066666666667</v>
      </c>
      <c r="E21" s="11" t="n">
        <v>3</v>
      </c>
      <c r="F21" s="11" t="n">
        <v>20</v>
      </c>
      <c r="G21" s="15" t="n">
        <f aca="false">1-(E21-1)/(F21-1)</f>
        <v>0.9</v>
      </c>
      <c r="H21" s="12" t="n">
        <v>32.7</v>
      </c>
      <c r="I21" s="27" t="s">
        <v>78</v>
      </c>
      <c r="J21" s="11" t="n">
        <v>3</v>
      </c>
    </row>
    <row r="22" customFormat="false" ht="15" hidden="false" customHeight="false" outlineLevel="0" collapsed="false">
      <c r="A22" s="30" t="s">
        <v>50</v>
      </c>
      <c r="B22" s="31" t="n">
        <v>125</v>
      </c>
      <c r="C22" s="12" t="n">
        <v>91.05</v>
      </c>
      <c r="D22" s="15" t="n">
        <f aca="false">C22/B22</f>
        <v>0.7284</v>
      </c>
      <c r="E22" s="11" t="n">
        <v>8</v>
      </c>
      <c r="F22" s="11" t="n">
        <v>21</v>
      </c>
      <c r="G22" s="15" t="n">
        <f aca="false">1-(E22-1)/(F22-1)</f>
        <v>0.65</v>
      </c>
      <c r="H22" s="12" t="n">
        <v>74</v>
      </c>
      <c r="I22" s="27" t="s">
        <v>79</v>
      </c>
      <c r="J22" s="11" t="n">
        <v>8</v>
      </c>
    </row>
    <row r="23" customFormat="false" ht="15" hidden="false" customHeight="false" outlineLevel="0" collapsed="false">
      <c r="A23" s="30" t="s">
        <v>18</v>
      </c>
      <c r="B23" s="31" t="n">
        <v>275</v>
      </c>
      <c r="C23" s="12" t="n">
        <v>226.6</v>
      </c>
      <c r="D23" s="15" t="n">
        <f aca="false">C23/B23</f>
        <v>0.824</v>
      </c>
      <c r="E23" s="11" t="n">
        <v>3</v>
      </c>
      <c r="F23" s="11" t="n">
        <v>21</v>
      </c>
      <c r="G23" s="15" t="n">
        <f aca="false">1-(E23-1)/(F23-1)</f>
        <v>0.9</v>
      </c>
      <c r="H23" s="12" t="n">
        <v>103.3</v>
      </c>
      <c r="I23" s="27" t="s">
        <v>80</v>
      </c>
      <c r="J23" s="11" t="n">
        <v>3</v>
      </c>
    </row>
    <row r="24" customFormat="false" ht="15" hidden="false" customHeight="false" outlineLevel="0" collapsed="false">
      <c r="A24" s="30" t="s">
        <v>51</v>
      </c>
      <c r="B24" s="31" t="n">
        <v>100</v>
      </c>
      <c r="C24" s="12" t="n">
        <v>91.4</v>
      </c>
      <c r="D24" s="15" t="n">
        <f aca="false">C24/B24</f>
        <v>0.914</v>
      </c>
      <c r="E24" s="11" t="n">
        <v>5</v>
      </c>
      <c r="F24" s="11" t="n">
        <v>14</v>
      </c>
      <c r="G24" s="15" t="n">
        <f aca="false">1-(E24-1)/(F24-1)</f>
        <v>0.692307692307692</v>
      </c>
      <c r="H24" s="12" t="n">
        <v>90.6</v>
      </c>
      <c r="I24" s="27" t="s">
        <v>81</v>
      </c>
      <c r="J24" s="32" t="s">
        <v>72</v>
      </c>
    </row>
    <row r="26" customFormat="false" ht="21.75" hidden="false" customHeight="true" outlineLevel="0" collapsed="false">
      <c r="A26" s="7" t="s">
        <v>82</v>
      </c>
      <c r="B26" s="7"/>
      <c r="C26" s="7"/>
      <c r="D26" s="7"/>
      <c r="E26" s="7"/>
      <c r="F26" s="7"/>
      <c r="G26" s="7"/>
      <c r="H26" s="7"/>
      <c r="I26" s="7"/>
      <c r="J26" s="7"/>
    </row>
    <row r="27" customFormat="false" ht="31.5" hidden="false" customHeight="true" outlineLevel="0" collapsed="false">
      <c r="A27" s="8" t="s">
        <v>39</v>
      </c>
      <c r="B27" s="8" t="s">
        <v>40</v>
      </c>
      <c r="C27" s="8" t="s">
        <v>10</v>
      </c>
      <c r="D27" s="8" t="s">
        <v>57</v>
      </c>
      <c r="E27" s="8" t="s">
        <v>58</v>
      </c>
      <c r="F27" s="8" t="s">
        <v>59</v>
      </c>
      <c r="G27" s="8" t="s">
        <v>60</v>
      </c>
      <c r="H27" s="8" t="s">
        <v>61</v>
      </c>
      <c r="I27" s="8" t="s">
        <v>62</v>
      </c>
      <c r="J27" s="8" t="s">
        <v>63</v>
      </c>
    </row>
    <row r="28" customFormat="false" ht="15" hidden="false" customHeight="false" outlineLevel="0" collapsed="false">
      <c r="A28" s="30" t="s">
        <v>16</v>
      </c>
      <c r="B28" s="31" t="n">
        <v>100</v>
      </c>
      <c r="C28" s="12" t="n">
        <v>51</v>
      </c>
      <c r="D28" s="15" t="n">
        <f aca="false">C28/B28</f>
        <v>0.51</v>
      </c>
      <c r="E28" s="11" t="n">
        <v>48</v>
      </c>
      <c r="F28" s="11" t="n">
        <v>68</v>
      </c>
      <c r="G28" s="15" t="n">
        <f aca="false">1-(E28-1)/(F28-1)</f>
        <v>0.298507462686567</v>
      </c>
      <c r="H28" s="12" t="n">
        <v>61.1</v>
      </c>
      <c r="I28" s="27" t="s">
        <v>83</v>
      </c>
      <c r="J28" s="11" t="n">
        <v>48</v>
      </c>
    </row>
    <row r="29" customFormat="false" ht="15" hidden="false" customHeight="false" outlineLevel="0" collapsed="false">
      <c r="A29" s="30" t="s">
        <v>47</v>
      </c>
      <c r="B29" s="31" t="n">
        <v>75</v>
      </c>
      <c r="C29" s="12" t="n">
        <v>61.8</v>
      </c>
      <c r="D29" s="15" t="n">
        <f aca="false">C29/B29</f>
        <v>0.824</v>
      </c>
      <c r="E29" s="11" t="n">
        <v>12</v>
      </c>
      <c r="F29" s="11" t="n">
        <v>77</v>
      </c>
      <c r="G29" s="15" t="n">
        <f aca="false">1-(E29-1)/(F29-1)</f>
        <v>0.855263157894737</v>
      </c>
      <c r="H29" s="12" t="n">
        <v>45.2</v>
      </c>
      <c r="I29" s="27" t="s">
        <v>84</v>
      </c>
      <c r="J29" s="11" t="n">
        <v>12</v>
      </c>
    </row>
    <row r="30" customFormat="false" ht="15" hidden="false" customHeight="false" outlineLevel="0" collapsed="false">
      <c r="A30" s="30" t="s">
        <v>17</v>
      </c>
      <c r="B30" s="31" t="n">
        <v>150</v>
      </c>
      <c r="C30" s="12" t="n">
        <v>75</v>
      </c>
      <c r="D30" s="15" t="n">
        <f aca="false">C30/B30</f>
        <v>0.5</v>
      </c>
      <c r="E30" s="11" t="n">
        <v>32</v>
      </c>
      <c r="F30" s="11" t="n">
        <v>70</v>
      </c>
      <c r="G30" s="15" t="n">
        <f aca="false">1-(E30-1)/(F30-1)</f>
        <v>0.550724637681159</v>
      </c>
      <c r="H30" s="12" t="n">
        <v>75.9</v>
      </c>
      <c r="I30" s="27" t="s">
        <v>76</v>
      </c>
      <c r="J30" s="11" t="n">
        <v>32</v>
      </c>
    </row>
    <row r="31" customFormat="false" ht="15" hidden="false" customHeight="false" outlineLevel="0" collapsed="false">
      <c r="A31" s="30" t="s">
        <v>48</v>
      </c>
      <c r="B31" s="31" t="n">
        <v>100</v>
      </c>
      <c r="C31" s="12" t="n">
        <v>51.64</v>
      </c>
      <c r="D31" s="15" t="n">
        <f aca="false">C31/B31</f>
        <v>0.5164</v>
      </c>
      <c r="E31" s="11" t="n">
        <v>8</v>
      </c>
      <c r="F31" s="11" t="n">
        <v>31</v>
      </c>
      <c r="G31" s="15" t="n">
        <f aca="false">1-(E31-1)/(F31-1)</f>
        <v>0.78125</v>
      </c>
      <c r="H31" s="12" t="n">
        <v>36.6</v>
      </c>
      <c r="I31" s="27" t="s">
        <v>77</v>
      </c>
      <c r="J31" s="11" t="n">
        <v>8</v>
      </c>
    </row>
    <row r="32" customFormat="false" ht="15" hidden="false" customHeight="false" outlineLevel="0" collapsed="false">
      <c r="A32" s="30" t="s">
        <v>49</v>
      </c>
      <c r="B32" s="31" t="n">
        <v>75</v>
      </c>
      <c r="C32" s="12" t="n">
        <v>50.53</v>
      </c>
      <c r="D32" s="15" t="n">
        <f aca="false">C32/B32</f>
        <v>0.673733333333333</v>
      </c>
      <c r="E32" s="11" t="n">
        <v>9</v>
      </c>
      <c r="F32" s="11" t="n">
        <v>32</v>
      </c>
      <c r="G32" s="15" t="n">
        <f aca="false">1-(E32-1)/(F32-1)</f>
        <v>0.75</v>
      </c>
      <c r="H32" s="12" t="n">
        <v>40.1</v>
      </c>
      <c r="I32" s="27" t="s">
        <v>78</v>
      </c>
      <c r="J32" s="11" t="n">
        <v>9</v>
      </c>
    </row>
    <row r="33" customFormat="false" ht="15" hidden="false" customHeight="false" outlineLevel="0" collapsed="false">
      <c r="A33" s="30" t="s">
        <v>50</v>
      </c>
      <c r="B33" s="31" t="n">
        <v>125</v>
      </c>
      <c r="C33" s="12" t="n">
        <v>79.22</v>
      </c>
      <c r="D33" s="15" t="n">
        <f aca="false">C33/B33</f>
        <v>0.63376</v>
      </c>
      <c r="E33" s="11" t="n">
        <v>19</v>
      </c>
      <c r="F33" s="11" t="n">
        <v>28</v>
      </c>
      <c r="G33" s="15" t="n">
        <f aca="false">1-(E33-1)/(F33-1)</f>
        <v>0.419354838709677</v>
      </c>
      <c r="H33" s="12" t="n">
        <v>85.7</v>
      </c>
      <c r="I33" s="27" t="s">
        <v>85</v>
      </c>
      <c r="J33" s="11" t="n">
        <v>19</v>
      </c>
    </row>
    <row r="34" customFormat="false" ht="15" hidden="false" customHeight="false" outlineLevel="0" collapsed="false">
      <c r="A34" s="30" t="s">
        <v>18</v>
      </c>
      <c r="B34" s="31" t="n">
        <v>275</v>
      </c>
      <c r="C34" s="12" t="n">
        <v>186.5</v>
      </c>
      <c r="D34" s="15" t="n">
        <f aca="false">C34/B34</f>
        <v>0.678181818181818</v>
      </c>
      <c r="E34" s="11" t="n">
        <v>13</v>
      </c>
      <c r="F34" s="11" t="n">
        <v>36</v>
      </c>
      <c r="G34" s="15" t="n">
        <f aca="false">1-(E34-1)/(F34-1)</f>
        <v>0.657142857142857</v>
      </c>
      <c r="H34" s="12" t="n">
        <v>120.2</v>
      </c>
      <c r="I34" s="27" t="s">
        <v>86</v>
      </c>
      <c r="J34" s="11" t="n">
        <v>13</v>
      </c>
    </row>
    <row r="35" customFormat="false" ht="15" hidden="false" customHeight="false" outlineLevel="0" collapsed="false">
      <c r="A35" s="30" t="s">
        <v>51</v>
      </c>
      <c r="B35" s="31" t="n">
        <v>100</v>
      </c>
      <c r="C35" s="12" t="n">
        <v>34.3</v>
      </c>
      <c r="D35" s="15" t="n">
        <f aca="false">C35/B35</f>
        <v>0.343</v>
      </c>
      <c r="E35" s="11" t="n">
        <v>18</v>
      </c>
      <c r="F35" s="11" t="n">
        <v>21</v>
      </c>
      <c r="G35" s="15" t="n">
        <f aca="false">1-(E35-1)/(F35-1)</f>
        <v>0.15</v>
      </c>
      <c r="H35" s="12" t="n">
        <v>50.3</v>
      </c>
      <c r="I35" s="27" t="s">
        <v>87</v>
      </c>
      <c r="J35" s="32" t="s">
        <v>72</v>
      </c>
    </row>
    <row r="37" customFormat="false" ht="21.75" hidden="false" customHeight="true" outlineLevel="0" collapsed="false">
      <c r="A37" s="7" t="s">
        <v>88</v>
      </c>
      <c r="B37" s="7"/>
      <c r="C37" s="7"/>
      <c r="D37" s="7"/>
      <c r="E37" s="7"/>
      <c r="F37" s="7"/>
      <c r="G37" s="7"/>
      <c r="H37" s="7"/>
      <c r="I37" s="7"/>
      <c r="J37" s="7"/>
    </row>
    <row r="38" customFormat="false" ht="31.5" hidden="false" customHeight="true" outlineLevel="0" collapsed="false">
      <c r="A38" s="8" t="s">
        <v>39</v>
      </c>
      <c r="B38" s="8" t="s">
        <v>40</v>
      </c>
      <c r="C38" s="8" t="s">
        <v>10</v>
      </c>
      <c r="D38" s="8" t="s">
        <v>57</v>
      </c>
      <c r="E38" s="8" t="s">
        <v>58</v>
      </c>
      <c r="F38" s="8" t="s">
        <v>59</v>
      </c>
      <c r="G38" s="8" t="s">
        <v>60</v>
      </c>
      <c r="H38" s="8" t="s">
        <v>61</v>
      </c>
      <c r="I38" s="8" t="s">
        <v>62</v>
      </c>
      <c r="J38" s="8" t="s">
        <v>63</v>
      </c>
    </row>
    <row r="39" customFormat="false" ht="15" hidden="false" customHeight="false" outlineLevel="0" collapsed="false">
      <c r="A39" s="30" t="s">
        <v>16</v>
      </c>
      <c r="B39" s="31" t="n">
        <v>100</v>
      </c>
      <c r="C39" s="12" t="n">
        <v>90.22</v>
      </c>
      <c r="D39" s="15" t="n">
        <f aca="false">C39/B39</f>
        <v>0.9022</v>
      </c>
      <c r="E39" s="11" t="n">
        <v>2</v>
      </c>
      <c r="F39" s="11" t="n">
        <v>76</v>
      </c>
      <c r="G39" s="15" t="n">
        <f aca="false">1-(E39-1)/(F39-1)</f>
        <v>0.986666666666667</v>
      </c>
      <c r="H39" s="12" t="n">
        <v>63.9</v>
      </c>
      <c r="I39" s="27" t="s">
        <v>89</v>
      </c>
      <c r="J39" s="11" t="n">
        <v>2</v>
      </c>
    </row>
    <row r="40" customFormat="false" ht="15" hidden="false" customHeight="false" outlineLevel="0" collapsed="false">
      <c r="A40" s="30" t="s">
        <v>47</v>
      </c>
      <c r="B40" s="31" t="n">
        <v>75</v>
      </c>
      <c r="C40" s="12" t="n">
        <v>49.9</v>
      </c>
      <c r="D40" s="15" t="n">
        <f aca="false">C40/B40</f>
        <v>0.665333333333333</v>
      </c>
      <c r="E40" s="11" t="n">
        <v>29</v>
      </c>
      <c r="F40" s="11" t="n">
        <v>99</v>
      </c>
      <c r="G40" s="15" t="n">
        <f aca="false">1-(E40-1)/(F40-1)</f>
        <v>0.714285714285714</v>
      </c>
      <c r="H40" s="12" t="n">
        <v>33.6</v>
      </c>
      <c r="I40" s="27" t="s">
        <v>90</v>
      </c>
      <c r="J40" s="11" t="n">
        <v>29</v>
      </c>
    </row>
    <row r="41" customFormat="false" ht="15" hidden="false" customHeight="false" outlineLevel="0" collapsed="false">
      <c r="A41" s="30" t="s">
        <v>17</v>
      </c>
      <c r="B41" s="31" t="n">
        <v>150</v>
      </c>
      <c r="C41" s="12" t="n">
        <v>130</v>
      </c>
      <c r="D41" s="15" t="n">
        <f aca="false">C41/B41</f>
        <v>0.866666666666667</v>
      </c>
      <c r="E41" s="11" t="n">
        <v>3</v>
      </c>
      <c r="F41" s="11" t="n">
        <v>79</v>
      </c>
      <c r="G41" s="15" t="n">
        <f aca="false">1-(E41-1)/(F41-1)</f>
        <v>0.974358974358974</v>
      </c>
      <c r="H41" s="12" t="n">
        <v>80.1</v>
      </c>
      <c r="I41" s="27" t="s">
        <v>91</v>
      </c>
      <c r="J41" s="11" t="n">
        <v>3</v>
      </c>
    </row>
    <row r="42" customFormat="false" ht="15" hidden="false" customHeight="false" outlineLevel="0" collapsed="false">
      <c r="A42" s="30" t="s">
        <v>48</v>
      </c>
      <c r="B42" s="31" t="n">
        <v>100</v>
      </c>
      <c r="C42" s="12" t="n">
        <v>81.34</v>
      </c>
      <c r="D42" s="15" t="n">
        <f aca="false">C42/B42</f>
        <v>0.8134</v>
      </c>
      <c r="E42" s="11" t="n">
        <v>6</v>
      </c>
      <c r="F42" s="11" t="n">
        <v>26</v>
      </c>
      <c r="G42" s="15" t="n">
        <f aca="false">1-(E42-1)/(F42-1)</f>
        <v>0.807692307692308</v>
      </c>
      <c r="H42" s="12" t="n">
        <v>55.8</v>
      </c>
      <c r="I42" s="27" t="s">
        <v>77</v>
      </c>
      <c r="J42" s="11" t="n">
        <v>6</v>
      </c>
    </row>
    <row r="43" customFormat="false" ht="15" hidden="false" customHeight="false" outlineLevel="0" collapsed="false">
      <c r="A43" s="30" t="s">
        <v>49</v>
      </c>
      <c r="B43" s="31" t="n">
        <v>75</v>
      </c>
      <c r="C43" s="12" t="n">
        <v>56.45</v>
      </c>
      <c r="D43" s="15" t="n">
        <f aca="false">C43/B43</f>
        <v>0.752666666666667</v>
      </c>
      <c r="E43" s="11" t="n">
        <v>9</v>
      </c>
      <c r="F43" s="11" t="n">
        <v>27</v>
      </c>
      <c r="G43" s="15" t="n">
        <f aca="false">1-(E43-1)/(F43-1)</f>
        <v>0.703703703703704</v>
      </c>
      <c r="H43" s="12" t="n">
        <v>47.1</v>
      </c>
      <c r="I43" s="27" t="s">
        <v>92</v>
      </c>
      <c r="J43" s="11" t="n">
        <v>9</v>
      </c>
    </row>
    <row r="44" customFormat="false" ht="15" hidden="false" customHeight="false" outlineLevel="0" collapsed="false">
      <c r="A44" s="30" t="s">
        <v>50</v>
      </c>
      <c r="B44" s="31" t="n">
        <v>125</v>
      </c>
      <c r="C44" s="12" t="n">
        <v>89.03</v>
      </c>
      <c r="D44" s="15" t="n">
        <f aca="false">C44/B44</f>
        <v>0.71224</v>
      </c>
      <c r="E44" s="11" t="n">
        <v>16</v>
      </c>
      <c r="F44" s="11" t="n">
        <v>26</v>
      </c>
      <c r="G44" s="15" t="n">
        <f aca="false">1-(E44-1)/(F44-1)</f>
        <v>0.444444444444444</v>
      </c>
      <c r="H44" s="12" t="n">
        <v>84.1</v>
      </c>
      <c r="I44" s="27" t="s">
        <v>93</v>
      </c>
      <c r="J44" s="11" t="n">
        <v>16</v>
      </c>
    </row>
    <row r="45" customFormat="false" ht="15" hidden="false" customHeight="false" outlineLevel="0" collapsed="false">
      <c r="A45" s="30" t="s">
        <v>18</v>
      </c>
      <c r="B45" s="31" t="n">
        <v>275</v>
      </c>
      <c r="C45" s="12" t="n">
        <v>21</v>
      </c>
      <c r="D45" s="15" t="n">
        <f aca="false">C45/B45</f>
        <v>0.0763636363636364</v>
      </c>
      <c r="E45" s="11" t="n">
        <v>22</v>
      </c>
      <c r="F45" s="11" t="n">
        <v>30</v>
      </c>
      <c r="G45" s="15" t="n">
        <f aca="false">1-(E45-1)/(F45-1)</f>
        <v>0.275862068965517</v>
      </c>
      <c r="H45" s="12" t="n">
        <v>84.1</v>
      </c>
      <c r="I45" s="27" t="s">
        <v>94</v>
      </c>
      <c r="J45" s="32" t="s">
        <v>95</v>
      </c>
    </row>
    <row r="46" customFormat="false" ht="15" hidden="false" customHeight="false" outlineLevel="0" collapsed="false">
      <c r="A46" s="30" t="s">
        <v>51</v>
      </c>
      <c r="B46" s="31" t="n">
        <v>100</v>
      </c>
      <c r="C46" s="31" t="s">
        <v>96</v>
      </c>
      <c r="D46" s="31"/>
      <c r="E46" s="31"/>
      <c r="F46" s="31"/>
      <c r="G46" s="31"/>
      <c r="H46" s="31"/>
      <c r="I46" s="31"/>
      <c r="J46" s="32" t="s">
        <v>72</v>
      </c>
    </row>
    <row r="48" customFormat="false" ht="21.75" hidden="false" customHeight="true" outlineLevel="0" collapsed="false">
      <c r="A48" s="7" t="s">
        <v>97</v>
      </c>
      <c r="B48" s="7"/>
      <c r="C48" s="7"/>
      <c r="D48" s="7"/>
      <c r="E48" s="7"/>
      <c r="F48" s="7"/>
      <c r="G48" s="7"/>
      <c r="H48" s="7"/>
      <c r="I48" s="7"/>
      <c r="J48" s="7"/>
    </row>
    <row r="49" customFormat="false" ht="31.5" hidden="false" customHeight="true" outlineLevel="0" collapsed="false">
      <c r="A49" s="8" t="s">
        <v>39</v>
      </c>
      <c r="B49" s="8" t="s">
        <v>40</v>
      </c>
      <c r="C49" s="8" t="s">
        <v>10</v>
      </c>
      <c r="D49" s="8" t="s">
        <v>57</v>
      </c>
      <c r="E49" s="8" t="s">
        <v>58</v>
      </c>
      <c r="F49" s="8" t="s">
        <v>59</v>
      </c>
      <c r="G49" s="8" t="s">
        <v>60</v>
      </c>
      <c r="H49" s="8" t="s">
        <v>61</v>
      </c>
      <c r="I49" s="8" t="s">
        <v>62</v>
      </c>
      <c r="J49" s="8" t="s">
        <v>63</v>
      </c>
    </row>
    <row r="50" customFormat="false" ht="15" hidden="false" customHeight="false" outlineLevel="0" collapsed="false">
      <c r="A50" s="30" t="s">
        <v>16</v>
      </c>
      <c r="B50" s="31" t="n">
        <v>100</v>
      </c>
      <c r="C50" s="12" t="n">
        <v>98</v>
      </c>
      <c r="D50" s="15" t="n">
        <f aca="false">C50/B50</f>
        <v>0.98</v>
      </c>
      <c r="E50" s="11" t="n">
        <v>1</v>
      </c>
      <c r="F50" s="11" t="n">
        <v>85</v>
      </c>
      <c r="G50" s="15" t="n">
        <f aca="false">1-(E50-1)/(F50-1)</f>
        <v>1</v>
      </c>
      <c r="H50" s="12" t="n">
        <v>68.4</v>
      </c>
      <c r="I50" s="27" t="s">
        <v>98</v>
      </c>
      <c r="J50" s="11" t="n">
        <v>1</v>
      </c>
    </row>
    <row r="51" customFormat="false" ht="15" hidden="false" customHeight="false" outlineLevel="0" collapsed="false">
      <c r="A51" s="30" t="s">
        <v>47</v>
      </c>
      <c r="B51" s="31" t="n">
        <v>75</v>
      </c>
      <c r="C51" s="12" t="n">
        <v>30.2</v>
      </c>
      <c r="D51" s="15" t="n">
        <f aca="false">C51/B51</f>
        <v>0.402666666666667</v>
      </c>
      <c r="E51" s="11" t="n">
        <v>46</v>
      </c>
      <c r="F51" s="11" t="n">
        <v>108</v>
      </c>
      <c r="G51" s="15" t="n">
        <f aca="false">1-(E51-1)/(F51-1)</f>
        <v>0.579439252336449</v>
      </c>
      <c r="H51" s="12" t="n">
        <v>31.3</v>
      </c>
      <c r="I51" s="27" t="s">
        <v>92</v>
      </c>
      <c r="J51" s="11" t="n">
        <v>37</v>
      </c>
    </row>
    <row r="52" customFormat="false" ht="15" hidden="false" customHeight="false" outlineLevel="0" collapsed="false">
      <c r="A52" s="30" t="s">
        <v>17</v>
      </c>
      <c r="B52" s="31" t="n">
        <v>150</v>
      </c>
      <c r="C52" s="12" t="n">
        <v>143</v>
      </c>
      <c r="D52" s="15" t="n">
        <f aca="false">C52/B52</f>
        <v>0.953333333333333</v>
      </c>
      <c r="E52" s="11" t="n">
        <v>4</v>
      </c>
      <c r="F52" s="11" t="n">
        <v>87</v>
      </c>
      <c r="G52" s="15" t="n">
        <f aca="false">1-(E52-1)/(F52-1)</f>
        <v>0.965116279069767</v>
      </c>
      <c r="H52" s="12" t="n">
        <v>83.6</v>
      </c>
      <c r="I52" s="27" t="s">
        <v>91</v>
      </c>
      <c r="J52" s="11" t="n">
        <v>4</v>
      </c>
    </row>
    <row r="53" customFormat="false" ht="15" hidden="false" customHeight="false" outlineLevel="0" collapsed="false">
      <c r="A53" s="30" t="s">
        <v>48</v>
      </c>
      <c r="B53" s="31" t="n">
        <v>100</v>
      </c>
      <c r="C53" s="12" t="n">
        <v>93.7</v>
      </c>
      <c r="D53" s="15" t="n">
        <f aca="false">C53/B53</f>
        <v>0.937</v>
      </c>
      <c r="E53" s="11" t="n">
        <v>5</v>
      </c>
      <c r="F53" s="11" t="n">
        <v>34</v>
      </c>
      <c r="G53" s="15" t="n">
        <f aca="false">1-(E53-1)/(F53-1)</f>
        <v>0.878787878787879</v>
      </c>
      <c r="H53" s="12" t="n">
        <v>52.4</v>
      </c>
      <c r="I53" s="27" t="s">
        <v>99</v>
      </c>
      <c r="J53" s="11" t="n">
        <v>5</v>
      </c>
    </row>
    <row r="54" customFormat="false" ht="15" hidden="false" customHeight="false" outlineLevel="0" collapsed="false">
      <c r="A54" s="30" t="s">
        <v>49</v>
      </c>
      <c r="B54" s="31" t="n">
        <v>75</v>
      </c>
      <c r="C54" s="12" t="n">
        <v>55</v>
      </c>
      <c r="D54" s="15" t="n">
        <f aca="false">C54/B54</f>
        <v>0.733333333333333</v>
      </c>
      <c r="E54" s="11" t="n">
        <v>8</v>
      </c>
      <c r="F54" s="11" t="n">
        <v>38</v>
      </c>
      <c r="G54" s="15" t="n">
        <f aca="false">1-(E54-1)/(F54-1)</f>
        <v>0.810810810810811</v>
      </c>
      <c r="H54" s="12" t="n">
        <v>37.2</v>
      </c>
      <c r="I54" s="27" t="s">
        <v>90</v>
      </c>
      <c r="J54" s="11" t="n">
        <v>7</v>
      </c>
    </row>
    <row r="55" customFormat="false" ht="15" hidden="false" customHeight="false" outlineLevel="0" collapsed="false">
      <c r="A55" s="30" t="s">
        <v>50</v>
      </c>
      <c r="B55" s="31" t="n">
        <v>125</v>
      </c>
      <c r="C55" s="12" t="n">
        <v>109.4</v>
      </c>
      <c r="D55" s="15" t="n">
        <f aca="false">C55/B55</f>
        <v>0.8752</v>
      </c>
      <c r="E55" s="11" t="n">
        <v>9</v>
      </c>
      <c r="F55" s="11" t="n">
        <v>34</v>
      </c>
      <c r="G55" s="15" t="n">
        <f aca="false">1-(E55-1)/(F55-1)</f>
        <v>0.757575757575758</v>
      </c>
      <c r="H55" s="12" t="n">
        <v>79.9</v>
      </c>
      <c r="I55" s="27" t="s">
        <v>100</v>
      </c>
      <c r="J55" s="11" t="n">
        <v>9</v>
      </c>
    </row>
    <row r="56" customFormat="false" ht="15" hidden="false" customHeight="false" outlineLevel="0" collapsed="false">
      <c r="A56" s="30" t="s">
        <v>18</v>
      </c>
      <c r="B56" s="31" t="n">
        <v>275</v>
      </c>
      <c r="C56" s="12" t="n">
        <v>186.2</v>
      </c>
      <c r="D56" s="15" t="n">
        <f aca="false">C56/B56</f>
        <v>0.677090909090909</v>
      </c>
      <c r="E56" s="11" t="n">
        <v>9</v>
      </c>
      <c r="F56" s="11" t="n">
        <v>39</v>
      </c>
      <c r="G56" s="15" t="n">
        <f aca="false">1-(E56-1)/(F56-1)</f>
        <v>0.789473684210526</v>
      </c>
      <c r="H56" s="12" t="n">
        <v>84.7</v>
      </c>
      <c r="I56" s="27" t="s">
        <v>101</v>
      </c>
      <c r="J56" s="11" t="n">
        <v>9</v>
      </c>
    </row>
    <row r="57" customFormat="false" ht="15" hidden="false" customHeight="false" outlineLevel="0" collapsed="false">
      <c r="A57" s="30" t="s">
        <v>51</v>
      </c>
      <c r="B57" s="31" t="n">
        <v>100</v>
      </c>
      <c r="C57" s="12" t="n">
        <v>41.4</v>
      </c>
      <c r="D57" s="15" t="n">
        <f aca="false">C57/B57</f>
        <v>0.414</v>
      </c>
      <c r="E57" s="11" t="n">
        <v>13</v>
      </c>
      <c r="F57" s="11" t="n">
        <v>20</v>
      </c>
      <c r="G57" s="15" t="n">
        <f aca="false">1-(E57-1)/(F57-1)</f>
        <v>0.368421052631579</v>
      </c>
      <c r="H57" s="12" t="n">
        <v>51</v>
      </c>
      <c r="I57" s="27" t="s">
        <v>102</v>
      </c>
      <c r="J57" s="11" t="n">
        <v>13</v>
      </c>
    </row>
    <row r="59" customFormat="false" ht="48" hidden="false" customHeight="true" outlineLevel="0" collapsed="false">
      <c r="A59" s="24" t="s">
        <v>103</v>
      </c>
      <c r="B59" s="24"/>
      <c r="C59" s="24"/>
      <c r="D59" s="24"/>
      <c r="E59" s="24"/>
      <c r="F59" s="24"/>
      <c r="G59" s="24"/>
      <c r="H59" s="24"/>
      <c r="I59" s="24"/>
      <c r="J59" s="24"/>
    </row>
    <row r="61" customFormat="false" ht="15" hidden="false" customHeight="false" outlineLevel="0" collapsed="false">
      <c r="A61" s="33" t="s">
        <v>104</v>
      </c>
    </row>
    <row r="62" customFormat="false" ht="30" hidden="false" customHeight="true" outlineLevel="0" collapsed="false">
      <c r="A62" s="8" t="s">
        <v>39</v>
      </c>
      <c r="B62" s="8" t="s">
        <v>105</v>
      </c>
      <c r="C62" s="8" t="s">
        <v>61</v>
      </c>
      <c r="D62" s="8" t="s">
        <v>106</v>
      </c>
    </row>
    <row r="63" customFormat="false" ht="15" hidden="false" customHeight="false" outlineLevel="0" collapsed="false">
      <c r="A63" s="30" t="s">
        <v>16</v>
      </c>
      <c r="B63" s="15" t="n">
        <v>0.98</v>
      </c>
      <c r="C63" s="15" t="n">
        <v>0.683988235294118</v>
      </c>
      <c r="D63" s="15" t="n">
        <v>0.98</v>
      </c>
    </row>
    <row r="64" customFormat="false" ht="15" hidden="false" customHeight="false" outlineLevel="0" collapsed="false">
      <c r="A64" s="30" t="s">
        <v>47</v>
      </c>
      <c r="B64" s="15" t="n">
        <v>0.402666666666667</v>
      </c>
      <c r="C64" s="15" t="n">
        <v>0.417234567901234</v>
      </c>
      <c r="D64" s="15" t="n">
        <v>1</v>
      </c>
    </row>
    <row r="65" customFormat="false" ht="15" hidden="false" customHeight="false" outlineLevel="0" collapsed="false">
      <c r="A65" s="30" t="s">
        <v>17</v>
      </c>
      <c r="B65" s="15" t="n">
        <v>0.953333333333333</v>
      </c>
      <c r="C65" s="15" t="n">
        <v>0.557471264367816</v>
      </c>
      <c r="D65" s="15" t="n">
        <v>1</v>
      </c>
    </row>
    <row r="66" customFormat="false" ht="15" hidden="false" customHeight="false" outlineLevel="0" collapsed="false">
      <c r="A66" s="30" t="s">
        <v>48</v>
      </c>
      <c r="B66" s="15" t="n">
        <v>0.937</v>
      </c>
      <c r="C66" s="15" t="n">
        <v>0.523764705882353</v>
      </c>
      <c r="D66" s="15" t="n">
        <v>1</v>
      </c>
    </row>
    <row r="67" customFormat="false" ht="15" hidden="false" customHeight="false" outlineLevel="0" collapsed="false">
      <c r="A67" s="30" t="s">
        <v>49</v>
      </c>
      <c r="B67" s="15" t="n">
        <v>0.733333333333333</v>
      </c>
      <c r="C67" s="15" t="n">
        <v>0.495578947368421</v>
      </c>
      <c r="D67" s="15" t="n">
        <v>1</v>
      </c>
    </row>
    <row r="68" customFormat="false" ht="15" hidden="false" customHeight="false" outlineLevel="0" collapsed="false">
      <c r="A68" s="30" t="s">
        <v>50</v>
      </c>
      <c r="B68" s="15" t="n">
        <v>0.8752</v>
      </c>
      <c r="C68" s="15" t="n">
        <v>0.639576470588235</v>
      </c>
      <c r="D68" s="15" t="n">
        <v>1</v>
      </c>
    </row>
    <row r="69" customFormat="false" ht="15" hidden="false" customHeight="false" outlineLevel="0" collapsed="false">
      <c r="A69" s="30" t="s">
        <v>18</v>
      </c>
      <c r="B69" s="15" t="n">
        <v>0.677090909090909</v>
      </c>
      <c r="C69" s="15" t="n">
        <v>0.308027972027972</v>
      </c>
      <c r="D69" s="15" t="n">
        <v>1</v>
      </c>
    </row>
    <row r="70" customFormat="false" ht="15" hidden="false" customHeight="false" outlineLevel="0" collapsed="false">
      <c r="A70" s="30" t="s">
        <v>51</v>
      </c>
      <c r="B70" s="15" t="n">
        <v>0.414</v>
      </c>
      <c r="C70" s="15" t="n">
        <v>0.50955</v>
      </c>
      <c r="D70" s="15" t="n">
        <v>1</v>
      </c>
    </row>
  </sheetData>
  <mergeCells count="8">
    <mergeCell ref="A1:J1"/>
    <mergeCell ref="A2:J2"/>
    <mergeCell ref="A4:J4"/>
    <mergeCell ref="A15:J15"/>
    <mergeCell ref="A26:J26"/>
    <mergeCell ref="A37:J37"/>
    <mergeCell ref="A48:J48"/>
    <mergeCell ref="A59:J59"/>
  </mergeCells>
  <conditionalFormatting sqref="G6:G13">
    <cfRule type="colorScale" priority="2">
      <colorScale>
        <cfvo type="num" val="0"/>
        <cfvo type="num" val="0.6"/>
        <cfvo type="num" val="1"/>
        <color rgb="FFF8696B"/>
        <color rgb="FFFFEB84"/>
        <color rgb="FF63BE7B"/>
      </colorScale>
    </cfRule>
  </conditionalFormatting>
  <conditionalFormatting sqref="G17:G24">
    <cfRule type="colorScale" priority="3">
      <colorScale>
        <cfvo type="num" val="0"/>
        <cfvo type="num" val="0.6"/>
        <cfvo type="num" val="1"/>
        <color rgb="FFF8696B"/>
        <color rgb="FFFFEB84"/>
        <color rgb="FF63BE7B"/>
      </colorScale>
    </cfRule>
  </conditionalFormatting>
  <conditionalFormatting sqref="G28:G35">
    <cfRule type="colorScale" priority="4">
      <colorScale>
        <cfvo type="num" val="0"/>
        <cfvo type="num" val="0.6"/>
        <cfvo type="num" val="1"/>
        <color rgb="FFF8696B"/>
        <color rgb="FFFFEB84"/>
        <color rgb="FF63BE7B"/>
      </colorScale>
    </cfRule>
  </conditionalFormatting>
  <conditionalFormatting sqref="G39:G46">
    <cfRule type="colorScale" priority="5">
      <colorScale>
        <cfvo type="num" val="0"/>
        <cfvo type="num" val="0.6"/>
        <cfvo type="num" val="1"/>
        <color rgb="FFF8696B"/>
        <color rgb="FFFFEB84"/>
        <color rgb="FF63BE7B"/>
      </colorScale>
    </cfRule>
  </conditionalFormatting>
  <conditionalFormatting sqref="G50:G57">
    <cfRule type="colorScale" priority="6">
      <colorScale>
        <cfvo type="num" val="0"/>
        <cfvo type="num" val="0.6"/>
        <cfvo type="num" val="1"/>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14213D"/>
    <pageSetUpPr fitToPage="tru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10"/>
    <col collapsed="false" customWidth="true" hidden="false" outlineLevel="0" max="2" min="2" style="0" width="10.99"/>
    <col collapsed="false" customWidth="true" hidden="false" outlineLevel="0" max="9" min="3" style="0" width="11.99"/>
    <col collapsed="false" customWidth="true" hidden="false" outlineLevel="0" max="10" min="10" style="0" width="14.01"/>
    <col collapsed="false" customWidth="true" hidden="false" outlineLevel="0" max="11" min="11" style="0" width="30.02"/>
    <col collapsed="false" customWidth="true" hidden="false" outlineLevel="0" max="12" min="12" style="0" width="11.99"/>
  </cols>
  <sheetData>
    <row r="1" customFormat="false" ht="33.75" hidden="false" customHeight="true" outlineLevel="0" collapsed="false">
      <c r="A1" s="1" t="s">
        <v>107</v>
      </c>
      <c r="B1" s="1"/>
      <c r="C1" s="1"/>
      <c r="D1" s="1"/>
      <c r="E1" s="1"/>
      <c r="F1" s="1"/>
      <c r="G1" s="1"/>
      <c r="H1" s="1"/>
      <c r="I1" s="1"/>
      <c r="J1" s="1"/>
      <c r="K1" s="1"/>
      <c r="L1" s="1"/>
    </row>
    <row r="2" customFormat="false" ht="24" hidden="false" customHeight="true" outlineLevel="0" collapsed="false">
      <c r="A2" s="2" t="s">
        <v>108</v>
      </c>
      <c r="B2" s="2"/>
      <c r="C2" s="2"/>
      <c r="D2" s="2"/>
      <c r="E2" s="2"/>
      <c r="F2" s="2"/>
      <c r="G2" s="2"/>
      <c r="H2" s="2"/>
      <c r="I2" s="2"/>
      <c r="J2" s="2"/>
      <c r="K2" s="2"/>
      <c r="L2" s="2"/>
    </row>
    <row r="4" customFormat="false" ht="21.75" hidden="false" customHeight="true" outlineLevel="0" collapsed="false">
      <c r="A4" s="7" t="s">
        <v>109</v>
      </c>
      <c r="B4" s="7"/>
      <c r="C4" s="7"/>
      <c r="D4" s="7"/>
      <c r="E4" s="7"/>
      <c r="F4" s="7"/>
      <c r="G4" s="7"/>
      <c r="H4" s="7"/>
      <c r="I4" s="7"/>
      <c r="J4" s="7"/>
      <c r="K4" s="7"/>
      <c r="L4" s="7"/>
    </row>
    <row r="5" customFormat="false" ht="30" hidden="false" customHeight="true" outlineLevel="0" collapsed="false">
      <c r="A5" s="8" t="s">
        <v>7</v>
      </c>
      <c r="B5" s="8" t="s">
        <v>9</v>
      </c>
      <c r="C5" s="8" t="s">
        <v>11</v>
      </c>
      <c r="D5" s="8" t="s">
        <v>12</v>
      </c>
      <c r="E5" s="8" t="s">
        <v>30</v>
      </c>
      <c r="F5" s="8" t="s">
        <v>110</v>
      </c>
      <c r="G5" s="8" t="s">
        <v>111</v>
      </c>
      <c r="H5" s="8" t="s">
        <v>10</v>
      </c>
      <c r="I5" s="8" t="s">
        <v>112</v>
      </c>
      <c r="J5" s="8" t="s">
        <v>113</v>
      </c>
      <c r="K5" s="8" t="s">
        <v>31</v>
      </c>
      <c r="L5" s="8" t="s">
        <v>114</v>
      </c>
    </row>
    <row r="6" customFormat="false" ht="15" hidden="false" customHeight="false" outlineLevel="0" collapsed="false">
      <c r="A6" s="9" t="n">
        <v>2022</v>
      </c>
      <c r="B6" s="11" t="n">
        <f aca="false">COUNTIFS('Results Data'!$A$4:$A$418,A6,'Results Data'!$P$4:$P$418,1)</f>
        <v>43</v>
      </c>
      <c r="C6" s="12" t="n">
        <f aca="false">_xlfn.MAXIFS('Results Data'!$E$4:$E$418,'Results Data'!$A$4:$A$418,A6,'Results Data'!$P$4:$P$418,1)</f>
        <v>847</v>
      </c>
      <c r="D6" s="12" t="n">
        <f aca="false">AVERAGEIFS('Results Data'!$E$4:$E$418,'Results Data'!$A$4:$A$418,A6,'Results Data'!$P$4:$P$418,1)</f>
        <v>245.246511627907</v>
      </c>
      <c r="E6" s="12" t="n">
        <v>178.2</v>
      </c>
      <c r="F6" s="12" t="n">
        <v>197.1</v>
      </c>
      <c r="G6" s="12" t="n">
        <v>272.3</v>
      </c>
      <c r="H6" s="12" t="n">
        <f aca="false">'School Trend'!D6</f>
        <v>646</v>
      </c>
      <c r="I6" s="10" t="n">
        <f aca="false">'School Trend'!B6</f>
        <v>5</v>
      </c>
      <c r="J6" s="14" t="n">
        <f aca="false">H6-E6</f>
        <v>467.8</v>
      </c>
      <c r="K6" s="27" t="s">
        <v>33</v>
      </c>
      <c r="L6" s="11" t="n">
        <v>58</v>
      </c>
    </row>
    <row r="7" customFormat="false" ht="15" hidden="false" customHeight="false" outlineLevel="0" collapsed="false">
      <c r="A7" s="9" t="n">
        <v>2023</v>
      </c>
      <c r="B7" s="11" t="n">
        <f aca="false">COUNTIFS('Results Data'!$A$4:$A$418,A7,'Results Data'!$P$4:$P$418,1)</f>
        <v>61</v>
      </c>
      <c r="C7" s="12" t="n">
        <f aca="false">_xlfn.MAXIFS('Results Data'!$E$4:$E$418,'Results Data'!$A$4:$A$418,A7,'Results Data'!$P$4:$P$418,1)</f>
        <v>919.1</v>
      </c>
      <c r="D7" s="12" t="n">
        <f aca="false">AVERAGEIFS('Results Data'!$E$4:$E$418,'Results Data'!$A$4:$A$418,A7,'Results Data'!$P$4:$P$418,1)</f>
        <v>281.086885245902</v>
      </c>
      <c r="E7" s="12" t="n">
        <v>190.6</v>
      </c>
      <c r="F7" s="12" t="n">
        <v>208</v>
      </c>
      <c r="G7" s="12" t="n">
        <v>545.1</v>
      </c>
      <c r="H7" s="12" t="n">
        <f aca="false">'School Trend'!D7</f>
        <v>762.4</v>
      </c>
      <c r="I7" s="10" t="n">
        <f aca="false">'School Trend'!B7</f>
        <v>2</v>
      </c>
      <c r="J7" s="14" t="n">
        <f aca="false">H7-E7</f>
        <v>571.8</v>
      </c>
      <c r="K7" s="27" t="s">
        <v>34</v>
      </c>
      <c r="L7" s="11" t="n">
        <v>69</v>
      </c>
    </row>
    <row r="8" customFormat="false" ht="15" hidden="false" customHeight="false" outlineLevel="0" collapsed="false">
      <c r="A8" s="9" t="n">
        <v>2024</v>
      </c>
      <c r="B8" s="11" t="n">
        <f aca="false">COUNTIFS('Results Data'!$A$4:$A$418,A8,'Results Data'!$P$4:$P$418,1)</f>
        <v>70</v>
      </c>
      <c r="C8" s="12" t="n">
        <f aca="false">_xlfn.MAXIFS('Results Data'!$E$4:$E$418,'Results Data'!$A$4:$A$418,A8,'Results Data'!$P$4:$P$418,1)</f>
        <v>760.6</v>
      </c>
      <c r="D8" s="12" t="n">
        <f aca="false">AVERAGEIFS('Results Data'!$E$4:$E$418,'Results Data'!$A$4:$A$418,A8,'Results Data'!$P$4:$P$418,1)</f>
        <v>323.397142857143</v>
      </c>
      <c r="E8" s="12" t="n">
        <v>218.8</v>
      </c>
      <c r="F8" s="12" t="n">
        <v>226.8</v>
      </c>
      <c r="G8" s="12" t="n">
        <v>682.7</v>
      </c>
      <c r="H8" s="12" t="n">
        <f aca="false">'School Trend'!D8</f>
        <v>589.9</v>
      </c>
      <c r="I8" s="10" t="n">
        <f aca="false">'School Trend'!B8</f>
        <v>14</v>
      </c>
      <c r="J8" s="14" t="n">
        <f aca="false">H8-E8</f>
        <v>371.1</v>
      </c>
      <c r="K8" s="27" t="s">
        <v>35</v>
      </c>
      <c r="L8" s="11" t="n">
        <v>79</v>
      </c>
    </row>
    <row r="9" customFormat="false" ht="15" hidden="false" customHeight="false" outlineLevel="0" collapsed="false">
      <c r="A9" s="9" t="n">
        <v>2025</v>
      </c>
      <c r="B9" s="11" t="n">
        <f aca="false">COUNTIFS('Results Data'!$A$4:$A$418,A9,'Results Data'!$P$4:$P$418,1)</f>
        <v>78</v>
      </c>
      <c r="C9" s="12" t="n">
        <f aca="false">_xlfn.MAXIFS('Results Data'!$E$4:$E$418,'Results Data'!$A$4:$A$418,A9,'Results Data'!$P$4:$P$418,1)</f>
        <v>790.4</v>
      </c>
      <c r="D9" s="12" t="n">
        <f aca="false">AVERAGEIFS('Results Data'!$E$4:$E$418,'Results Data'!$A$4:$A$418,A9,'Results Data'!$P$4:$P$418,1)</f>
        <v>279.869230769231</v>
      </c>
      <c r="E9" s="12" t="n">
        <v>196.9</v>
      </c>
      <c r="F9" s="12" t="n">
        <v>212.7</v>
      </c>
      <c r="G9" s="12" t="n">
        <v>593</v>
      </c>
      <c r="H9" s="12" t="n">
        <f aca="false">'School Trend'!D9</f>
        <v>518</v>
      </c>
      <c r="I9" s="10" t="n">
        <f aca="false">'School Trend'!B9</f>
        <v>13</v>
      </c>
      <c r="J9" s="14" t="n">
        <f aca="false">H9-E9</f>
        <v>321.1</v>
      </c>
      <c r="K9" s="27" t="s">
        <v>36</v>
      </c>
      <c r="L9" s="11" t="n">
        <v>101</v>
      </c>
    </row>
    <row r="10" customFormat="false" ht="15" hidden="false" customHeight="false" outlineLevel="0" collapsed="false">
      <c r="A10" s="9" t="n">
        <v>2026</v>
      </c>
      <c r="B10" s="11" t="n">
        <f aca="false">COUNTIFS('Results Data'!$A$4:$A$418,A10,'Results Data'!$P$4:$P$418,1)</f>
        <v>88</v>
      </c>
      <c r="C10" s="12" t="n">
        <f aca="false">_xlfn.MAXIFS('Results Data'!$E$4:$E$418,'Results Data'!$A$4:$A$418,A10,'Results Data'!$P$4:$P$418,1)</f>
        <v>895.5</v>
      </c>
      <c r="D10" s="12" t="n">
        <f aca="false">AVERAGEIFS('Results Data'!$E$4:$E$418,'Results Data'!$A$4:$A$418,A10,'Results Data'!$P$4:$P$418,1)</f>
        <v>298.657954545455</v>
      </c>
      <c r="E10" s="12" t="n">
        <v>221.8</v>
      </c>
      <c r="F10" s="12" t="n">
        <v>215.3</v>
      </c>
      <c r="G10" s="12" t="n">
        <v>671.3</v>
      </c>
      <c r="H10" s="12" t="n">
        <f aca="false">'School Trend'!D10</f>
        <v>756.9</v>
      </c>
      <c r="I10" s="10" t="n">
        <f aca="false">'School Trend'!B10</f>
        <v>4</v>
      </c>
      <c r="J10" s="14" t="n">
        <f aca="false">H10-E10</f>
        <v>535.1</v>
      </c>
      <c r="K10" s="27" t="s">
        <v>36</v>
      </c>
      <c r="L10" s="11" t="n">
        <v>108</v>
      </c>
    </row>
    <row r="11" customFormat="false" ht="30" hidden="false" customHeight="true" outlineLevel="0" collapsed="false">
      <c r="A11" s="28" t="s">
        <v>115</v>
      </c>
      <c r="B11" s="28"/>
      <c r="C11" s="28"/>
      <c r="D11" s="28"/>
      <c r="E11" s="28"/>
      <c r="F11" s="28"/>
      <c r="G11" s="28"/>
      <c r="H11" s="28"/>
      <c r="I11" s="28"/>
      <c r="J11" s="28"/>
      <c r="K11" s="28"/>
      <c r="L11" s="28"/>
    </row>
    <row r="13" customFormat="false" ht="21.75" hidden="false" customHeight="true" outlineLevel="0" collapsed="false">
      <c r="A13" s="7" t="s">
        <v>116</v>
      </c>
      <c r="B13" s="7"/>
      <c r="C13" s="7"/>
      <c r="D13" s="7"/>
      <c r="E13" s="7"/>
      <c r="F13" s="7"/>
      <c r="G13" s="7"/>
      <c r="H13" s="7"/>
      <c r="I13" s="7"/>
      <c r="J13" s="7"/>
      <c r="K13" s="7"/>
      <c r="L13" s="7"/>
    </row>
    <row r="14" customFormat="false" ht="33.75" hidden="false" customHeight="true" outlineLevel="0" collapsed="false">
      <c r="A14" s="8" t="s">
        <v>7</v>
      </c>
      <c r="B14" s="8" t="s">
        <v>9</v>
      </c>
      <c r="C14" s="8" t="s">
        <v>117</v>
      </c>
      <c r="D14" s="8" t="s">
        <v>118</v>
      </c>
      <c r="E14" s="8" t="s">
        <v>119</v>
      </c>
      <c r="F14" s="8" t="s">
        <v>120</v>
      </c>
      <c r="G14" s="8" t="s">
        <v>121</v>
      </c>
      <c r="H14" s="8" t="s">
        <v>122</v>
      </c>
      <c r="I14" s="8" t="s">
        <v>123</v>
      </c>
    </row>
    <row r="15" customFormat="false" ht="15" hidden="false" customHeight="false" outlineLevel="0" collapsed="false">
      <c r="A15" s="9" t="n">
        <v>2022</v>
      </c>
      <c r="B15" s="11" t="n">
        <v>43</v>
      </c>
      <c r="C15" s="11" t="n">
        <v>11</v>
      </c>
      <c r="D15" s="26" t="n">
        <f aca="false">C15/B15</f>
        <v>0.255813953488372</v>
      </c>
      <c r="E15" s="12" t="n">
        <v>63.1</v>
      </c>
      <c r="F15" s="12" t="n">
        <v>25</v>
      </c>
      <c r="G15" s="12" t="n">
        <v>275</v>
      </c>
      <c r="H15" s="12" t="n">
        <v>16</v>
      </c>
      <c r="I15" s="13" t="n">
        <f aca="false">H15-E15</f>
        <v>-47.1</v>
      </c>
    </row>
    <row r="16" customFormat="false" ht="15" hidden="false" customHeight="false" outlineLevel="0" collapsed="false">
      <c r="A16" s="9" t="n">
        <v>2023</v>
      </c>
      <c r="B16" s="11" t="n">
        <v>61</v>
      </c>
      <c r="C16" s="11" t="n">
        <v>21</v>
      </c>
      <c r="D16" s="26" t="n">
        <f aca="false">C16/B16</f>
        <v>0.344262295081967</v>
      </c>
      <c r="E16" s="12" t="n">
        <v>103.3</v>
      </c>
      <c r="F16" s="12" t="n">
        <v>55.5</v>
      </c>
      <c r="G16" s="12" t="n">
        <v>275</v>
      </c>
      <c r="H16" s="12" t="n">
        <v>226.6</v>
      </c>
      <c r="I16" s="13" t="n">
        <f aca="false">H16-E16</f>
        <v>123.3</v>
      </c>
    </row>
    <row r="17" customFormat="false" ht="15" hidden="false" customHeight="false" outlineLevel="0" collapsed="false">
      <c r="A17" s="9" t="n">
        <v>2024</v>
      </c>
      <c r="B17" s="11" t="n">
        <v>70</v>
      </c>
      <c r="C17" s="11" t="n">
        <v>36</v>
      </c>
      <c r="D17" s="26" t="n">
        <f aca="false">C17/B17</f>
        <v>0.514285714285714</v>
      </c>
      <c r="E17" s="12" t="n">
        <v>120.2</v>
      </c>
      <c r="F17" s="12" t="n">
        <v>137.3</v>
      </c>
      <c r="G17" s="12" t="n">
        <v>275</v>
      </c>
      <c r="H17" s="12" t="n">
        <v>186.5</v>
      </c>
      <c r="I17" s="13" t="n">
        <f aca="false">H17-E17</f>
        <v>66.3</v>
      </c>
    </row>
    <row r="18" customFormat="false" ht="15" hidden="false" customHeight="false" outlineLevel="0" collapsed="false">
      <c r="A18" s="9" t="n">
        <v>2025</v>
      </c>
      <c r="B18" s="11" t="n">
        <v>78</v>
      </c>
      <c r="C18" s="11" t="n">
        <v>30</v>
      </c>
      <c r="D18" s="26" t="n">
        <f aca="false">C18/B18</f>
        <v>0.384615384615385</v>
      </c>
      <c r="E18" s="12" t="n">
        <v>84.1</v>
      </c>
      <c r="F18" s="12" t="n">
        <v>25</v>
      </c>
      <c r="G18" s="12" t="n">
        <v>275</v>
      </c>
      <c r="H18" s="12" t="n">
        <v>21</v>
      </c>
      <c r="I18" s="13" t="n">
        <f aca="false">H18-E18</f>
        <v>-63.1</v>
      </c>
    </row>
    <row r="19" customFormat="false" ht="15" hidden="false" customHeight="false" outlineLevel="0" collapsed="false">
      <c r="A19" s="9" t="n">
        <v>2026</v>
      </c>
      <c r="B19" s="11" t="n">
        <v>88</v>
      </c>
      <c r="C19" s="11" t="n">
        <v>39</v>
      </c>
      <c r="D19" s="26" t="n">
        <f aca="false">C19/B19</f>
        <v>0.443181818181818</v>
      </c>
      <c r="E19" s="12" t="n">
        <v>84.7</v>
      </c>
      <c r="F19" s="12" t="n">
        <v>25</v>
      </c>
      <c r="G19" s="12" t="n">
        <v>275</v>
      </c>
      <c r="H19" s="12" t="n">
        <v>186.2</v>
      </c>
      <c r="I19" s="13" t="n">
        <f aca="false">H19-E19</f>
        <v>101.5</v>
      </c>
    </row>
    <row r="21" customFormat="false" ht="21.75" hidden="false" customHeight="true" outlineLevel="0" collapsed="false">
      <c r="A21" s="7" t="s">
        <v>124</v>
      </c>
      <c r="B21" s="7"/>
      <c r="C21" s="7"/>
      <c r="D21" s="7"/>
      <c r="E21" s="7"/>
      <c r="F21" s="7"/>
      <c r="G21" s="7"/>
      <c r="H21" s="7"/>
      <c r="I21" s="7"/>
      <c r="J21" s="7"/>
      <c r="K21" s="7"/>
      <c r="L21" s="7"/>
    </row>
    <row r="22" customFormat="false" ht="30" hidden="false" customHeight="true" outlineLevel="0" collapsed="false">
      <c r="A22" s="8" t="s">
        <v>39</v>
      </c>
      <c r="B22" s="8" t="s">
        <v>125</v>
      </c>
      <c r="C22" s="8" t="s">
        <v>126</v>
      </c>
      <c r="D22" s="8" t="s">
        <v>127</v>
      </c>
      <c r="E22" s="8" t="s">
        <v>128</v>
      </c>
      <c r="F22" s="8" t="s">
        <v>129</v>
      </c>
      <c r="G22" s="8" t="s">
        <v>130</v>
      </c>
      <c r="H22" s="8" t="s">
        <v>131</v>
      </c>
      <c r="I22" s="8" t="s">
        <v>132</v>
      </c>
      <c r="J22" s="8" t="s">
        <v>133</v>
      </c>
      <c r="K22" s="8" t="s">
        <v>134</v>
      </c>
      <c r="L22" s="8" t="s">
        <v>135</v>
      </c>
    </row>
    <row r="23" customFormat="false" ht="15" hidden="false" customHeight="false" outlineLevel="0" collapsed="false">
      <c r="A23" s="30" t="s">
        <v>16</v>
      </c>
      <c r="B23" s="31" t="n">
        <v>100</v>
      </c>
      <c r="C23" s="12" t="n">
        <v>62.1</v>
      </c>
      <c r="D23" s="12" t="n">
        <v>62.8</v>
      </c>
      <c r="E23" s="12" t="n">
        <v>61.1</v>
      </c>
      <c r="F23" s="12" t="n">
        <v>64.6</v>
      </c>
      <c r="G23" s="12" t="n">
        <v>68.4</v>
      </c>
      <c r="H23" s="13" t="n">
        <v>22.1</v>
      </c>
      <c r="I23" s="13" t="n">
        <v>14.6</v>
      </c>
      <c r="J23" s="13" t="n">
        <v>-10.1</v>
      </c>
      <c r="K23" s="13" t="n">
        <v>25.6</v>
      </c>
      <c r="L23" s="13" t="n">
        <v>29.6</v>
      </c>
    </row>
    <row r="24" customFormat="false" ht="15" hidden="false" customHeight="false" outlineLevel="0" collapsed="false">
      <c r="A24" s="30" t="s">
        <v>47</v>
      </c>
      <c r="B24" s="31" t="n">
        <v>75</v>
      </c>
      <c r="C24" s="12" t="n">
        <v>60.7</v>
      </c>
      <c r="D24" s="12" t="n">
        <v>48.1</v>
      </c>
      <c r="E24" s="12" t="n">
        <v>46.3</v>
      </c>
      <c r="F24" s="12" t="n">
        <v>37.4</v>
      </c>
      <c r="G24" s="12" t="n">
        <v>33.8</v>
      </c>
      <c r="H24" s="13" t="n">
        <v>13.1</v>
      </c>
      <c r="I24" s="13" t="n">
        <v>1.4</v>
      </c>
      <c r="J24" s="13" t="n">
        <v>15.5</v>
      </c>
      <c r="K24" s="13" t="n">
        <v>12.5</v>
      </c>
      <c r="L24" s="13" t="n">
        <v>-3.6</v>
      </c>
    </row>
    <row r="25" customFormat="false" ht="15" hidden="false" customHeight="false" outlineLevel="0" collapsed="false">
      <c r="A25" s="30" t="s">
        <v>17</v>
      </c>
      <c r="B25" s="31" t="n">
        <v>150</v>
      </c>
      <c r="C25" s="12" t="n">
        <v>75.6</v>
      </c>
      <c r="D25" s="12" t="n">
        <v>72.6</v>
      </c>
      <c r="E25" s="12" t="n">
        <v>75.9</v>
      </c>
      <c r="F25" s="12" t="n">
        <v>81.1</v>
      </c>
      <c r="G25" s="12" t="n">
        <v>83.6</v>
      </c>
      <c r="H25" s="13" t="n">
        <v>69.4</v>
      </c>
      <c r="I25" s="13" t="n">
        <v>40.4</v>
      </c>
      <c r="J25" s="13" t="n">
        <v>-0.9</v>
      </c>
      <c r="K25" s="13" t="n">
        <v>48.9</v>
      </c>
      <c r="L25" s="13" t="n">
        <v>59.4</v>
      </c>
    </row>
    <row r="26" customFormat="false" ht="15" hidden="false" customHeight="false" outlineLevel="0" collapsed="false">
      <c r="A26" s="30" t="s">
        <v>48</v>
      </c>
      <c r="B26" s="31" t="n">
        <v>100</v>
      </c>
      <c r="C26" s="12" t="n">
        <v>95.1</v>
      </c>
      <c r="D26" s="12" t="n">
        <v>51.2</v>
      </c>
      <c r="E26" s="12" t="n">
        <v>36.6</v>
      </c>
      <c r="F26" s="12" t="n">
        <v>55.8</v>
      </c>
      <c r="G26" s="12" t="n">
        <v>52.4</v>
      </c>
      <c r="H26" s="13" t="n">
        <v>-3.8</v>
      </c>
      <c r="I26" s="13" t="n">
        <v>15.1</v>
      </c>
      <c r="J26" s="13" t="n">
        <v>15</v>
      </c>
      <c r="K26" s="13" t="n">
        <v>25.5</v>
      </c>
      <c r="L26" s="13" t="n">
        <v>41.3</v>
      </c>
    </row>
    <row r="27" customFormat="false" ht="15" hidden="false" customHeight="false" outlineLevel="0" collapsed="false">
      <c r="A27" s="30" t="s">
        <v>49</v>
      </c>
      <c r="B27" s="31" t="n">
        <v>75</v>
      </c>
      <c r="C27" s="12" t="n">
        <v>45.9</v>
      </c>
      <c r="D27" s="12" t="n">
        <v>32.7</v>
      </c>
      <c r="E27" s="12" t="n">
        <v>40.1</v>
      </c>
      <c r="F27" s="12" t="n">
        <v>47.1</v>
      </c>
      <c r="G27" s="12" t="n">
        <v>37.2</v>
      </c>
      <c r="H27" s="13" t="n">
        <v>2.6</v>
      </c>
      <c r="I27" s="13" t="n">
        <v>14.5</v>
      </c>
      <c r="J27" s="13" t="n">
        <v>10.4</v>
      </c>
      <c r="K27" s="13" t="n">
        <v>9.4</v>
      </c>
      <c r="L27" s="13" t="n">
        <v>17.8</v>
      </c>
    </row>
    <row r="28" customFormat="false" ht="15" hidden="false" customHeight="false" outlineLevel="0" collapsed="false">
      <c r="A28" s="30" t="s">
        <v>50</v>
      </c>
      <c r="B28" s="31" t="n">
        <v>125</v>
      </c>
      <c r="C28" s="12" t="n">
        <v>77.3</v>
      </c>
      <c r="D28" s="12" t="n">
        <v>74</v>
      </c>
      <c r="E28" s="12" t="n">
        <v>85.7</v>
      </c>
      <c r="F28" s="12" t="n">
        <v>84.1</v>
      </c>
      <c r="G28" s="12" t="n">
        <v>79.9</v>
      </c>
      <c r="H28" s="13" t="n">
        <v>14.9</v>
      </c>
      <c r="I28" s="13" t="n">
        <v>17.1</v>
      </c>
      <c r="J28" s="13" t="n">
        <v>-6.5</v>
      </c>
      <c r="K28" s="13" t="n">
        <v>4.9</v>
      </c>
      <c r="L28" s="13" t="n">
        <v>29.5</v>
      </c>
    </row>
    <row r="29" customFormat="false" ht="15" hidden="false" customHeight="false" outlineLevel="0" collapsed="false">
      <c r="A29" s="30" t="s">
        <v>18</v>
      </c>
      <c r="B29" s="31" t="n">
        <v>275</v>
      </c>
      <c r="C29" s="12" t="n">
        <v>63.1</v>
      </c>
      <c r="D29" s="12" t="n">
        <v>103.3</v>
      </c>
      <c r="E29" s="12" t="n">
        <v>120.2</v>
      </c>
      <c r="F29" s="12" t="n">
        <v>84.1</v>
      </c>
      <c r="G29" s="12" t="n">
        <v>84.7</v>
      </c>
      <c r="H29" s="13" t="n">
        <v>-47.1</v>
      </c>
      <c r="I29" s="13" t="n">
        <v>123.3</v>
      </c>
      <c r="J29" s="13" t="n">
        <v>66.3</v>
      </c>
      <c r="K29" s="13" t="n">
        <v>-63.1</v>
      </c>
      <c r="L29" s="13" t="n">
        <v>101.5</v>
      </c>
    </row>
    <row r="30" customFormat="false" ht="15" hidden="false" customHeight="false" outlineLevel="0" collapsed="false">
      <c r="A30" s="30" t="s">
        <v>51</v>
      </c>
      <c r="B30" s="31" t="n">
        <v>100</v>
      </c>
      <c r="C30" s="12" t="n">
        <v>93</v>
      </c>
      <c r="D30" s="12" t="n">
        <v>90.6</v>
      </c>
      <c r="E30" s="12" t="n">
        <v>50.3</v>
      </c>
      <c r="F30" s="12" t="n">
        <v>65.9</v>
      </c>
      <c r="G30" s="12" t="n">
        <v>51</v>
      </c>
      <c r="H30" s="13" t="n">
        <v>2</v>
      </c>
      <c r="I30" s="13" t="n">
        <v>0.8</v>
      </c>
      <c r="J30" s="13" t="n">
        <v>-16</v>
      </c>
      <c r="K30" s="34" t="s">
        <v>96</v>
      </c>
      <c r="L30" s="13" t="n">
        <v>-9.6</v>
      </c>
    </row>
    <row r="32" customFormat="false" ht="30" hidden="false" customHeight="true" outlineLevel="0" collapsed="false">
      <c r="A32" s="28" t="s">
        <v>136</v>
      </c>
      <c r="B32" s="28"/>
      <c r="C32" s="28"/>
      <c r="D32" s="28"/>
      <c r="E32" s="28"/>
      <c r="F32" s="28"/>
      <c r="G32" s="28"/>
      <c r="H32" s="28"/>
      <c r="I32" s="28"/>
      <c r="J32" s="28"/>
      <c r="K32" s="28"/>
      <c r="L32" s="28"/>
    </row>
  </sheetData>
  <mergeCells count="7">
    <mergeCell ref="A1:L1"/>
    <mergeCell ref="A2:L2"/>
    <mergeCell ref="A4:L4"/>
    <mergeCell ref="A11:L11"/>
    <mergeCell ref="A13:L13"/>
    <mergeCell ref="A21:L21"/>
    <mergeCell ref="A32:L32"/>
  </mergeCells>
  <conditionalFormatting sqref="H23:L30">
    <cfRule type="colorScale" priority="2">
      <colorScale>
        <cfvo type="num" val="-60"/>
        <cfvo type="num" val="0"/>
        <cfvo type="num" val="60"/>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8102E"/>
    <pageSetUpPr fitToPage="true"/>
  </sheetPr>
  <dimension ref="A1:T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6.01"/>
    <col collapsed="false" customWidth="true" hidden="false" outlineLevel="0" max="2" min="2" style="0" width="30.02"/>
    <col collapsed="false" customWidth="true" hidden="false" outlineLevel="0" max="3" min="3" style="0" width="9"/>
    <col collapsed="false" customWidth="true" hidden="false" outlineLevel="0" max="4" min="4" style="0" width="2"/>
    <col collapsed="false" customWidth="true" hidden="false" outlineLevel="0" max="5" min="5" style="0" width="6.01"/>
    <col collapsed="false" customWidth="true" hidden="false" outlineLevel="0" max="6" min="6" style="0" width="30.02"/>
    <col collapsed="false" customWidth="true" hidden="false" outlineLevel="0" max="7" min="7" style="0" width="9"/>
    <col collapsed="false" customWidth="true" hidden="false" outlineLevel="0" max="8" min="8" style="0" width="2"/>
    <col collapsed="false" customWidth="true" hidden="false" outlineLevel="0" max="9" min="9" style="0" width="6.01"/>
    <col collapsed="false" customWidth="true" hidden="false" outlineLevel="0" max="10" min="10" style="0" width="30.02"/>
    <col collapsed="false" customWidth="true" hidden="false" outlineLevel="0" max="11" min="11" style="0" width="9"/>
    <col collapsed="false" customWidth="true" hidden="false" outlineLevel="0" max="12" min="12" style="0" width="2"/>
    <col collapsed="false" customWidth="true" hidden="false" outlineLevel="0" max="13" min="13" style="0" width="6.01"/>
    <col collapsed="false" customWidth="true" hidden="false" outlineLevel="0" max="14" min="14" style="0" width="30.02"/>
    <col collapsed="false" customWidth="true" hidden="false" outlineLevel="0" max="15" min="15" style="0" width="9"/>
    <col collapsed="false" customWidth="true" hidden="false" outlineLevel="0" max="16" min="16" style="0" width="2"/>
    <col collapsed="false" customWidth="true" hidden="false" outlineLevel="0" max="17" min="17" style="0" width="6.01"/>
    <col collapsed="false" customWidth="true" hidden="false" outlineLevel="0" max="18" min="18" style="0" width="30.02"/>
    <col collapsed="false" customWidth="true" hidden="false" outlineLevel="0" max="19" min="19" style="0" width="9"/>
    <col collapsed="false" customWidth="true" hidden="false" outlineLevel="0" max="20" min="20" style="0" width="2"/>
  </cols>
  <sheetData>
    <row r="1" customFormat="false" ht="33.75" hidden="false" customHeight="true" outlineLevel="0" collapsed="false">
      <c r="A1" s="1" t="s">
        <v>137</v>
      </c>
      <c r="B1" s="1"/>
      <c r="C1" s="1"/>
      <c r="D1" s="1"/>
      <c r="E1" s="1"/>
      <c r="F1" s="1"/>
      <c r="G1" s="1"/>
      <c r="H1" s="1"/>
      <c r="I1" s="1"/>
      <c r="J1" s="1"/>
      <c r="K1" s="1"/>
      <c r="L1" s="1"/>
      <c r="M1" s="1"/>
      <c r="N1" s="1"/>
      <c r="O1" s="1"/>
      <c r="P1" s="1"/>
      <c r="Q1" s="1"/>
      <c r="R1" s="1"/>
      <c r="S1" s="1"/>
      <c r="T1" s="1"/>
    </row>
    <row r="2" customFormat="false" ht="24" hidden="false" customHeight="true" outlineLevel="0" collapsed="false">
      <c r="A2" s="2" t="s">
        <v>138</v>
      </c>
      <c r="B2" s="2"/>
      <c r="C2" s="2"/>
      <c r="D2" s="2"/>
      <c r="E2" s="2"/>
      <c r="F2" s="2"/>
      <c r="G2" s="2"/>
      <c r="H2" s="2"/>
      <c r="I2" s="2"/>
      <c r="J2" s="2"/>
      <c r="K2" s="2"/>
      <c r="L2" s="2"/>
      <c r="M2" s="2"/>
      <c r="N2" s="2"/>
      <c r="O2" s="2"/>
      <c r="P2" s="2"/>
      <c r="Q2" s="2"/>
      <c r="R2" s="2"/>
      <c r="S2" s="2"/>
      <c r="T2" s="2"/>
    </row>
    <row r="4" customFormat="false" ht="15" hidden="false" customHeight="false" outlineLevel="0" collapsed="false">
      <c r="A4" s="35" t="s">
        <v>139</v>
      </c>
      <c r="B4" s="35"/>
      <c r="C4" s="35"/>
      <c r="E4" s="35" t="s">
        <v>140</v>
      </c>
      <c r="F4" s="35"/>
      <c r="G4" s="35"/>
      <c r="I4" s="35" t="s">
        <v>141</v>
      </c>
      <c r="J4" s="35"/>
      <c r="K4" s="35"/>
      <c r="M4" s="35" t="s">
        <v>142</v>
      </c>
      <c r="N4" s="35"/>
      <c r="O4" s="35"/>
      <c r="Q4" s="35" t="s">
        <v>143</v>
      </c>
      <c r="R4" s="35"/>
      <c r="S4" s="35"/>
    </row>
    <row r="5" customFormat="false" ht="19.5" hidden="false" customHeight="true" outlineLevel="0" collapsed="false">
      <c r="A5" s="8" t="s">
        <v>144</v>
      </c>
      <c r="B5" s="8" t="s">
        <v>145</v>
      </c>
      <c r="C5" s="8" t="s">
        <v>146</v>
      </c>
      <c r="E5" s="8" t="s">
        <v>144</v>
      </c>
      <c r="F5" s="8" t="s">
        <v>145</v>
      </c>
      <c r="G5" s="8" t="s">
        <v>146</v>
      </c>
      <c r="I5" s="8" t="s">
        <v>144</v>
      </c>
      <c r="J5" s="8" t="s">
        <v>145</v>
      </c>
      <c r="K5" s="8" t="s">
        <v>146</v>
      </c>
      <c r="M5" s="8" t="s">
        <v>144</v>
      </c>
      <c r="N5" s="8" t="s">
        <v>145</v>
      </c>
      <c r="O5" s="8" t="s">
        <v>146</v>
      </c>
      <c r="Q5" s="8" t="s">
        <v>144</v>
      </c>
      <c r="R5" s="8" t="s">
        <v>145</v>
      </c>
      <c r="S5" s="8" t="s">
        <v>146</v>
      </c>
    </row>
    <row r="6" customFormat="false" ht="15" hidden="false" customHeight="false" outlineLevel="0" collapsed="false">
      <c r="A6" s="31" t="n">
        <v>1</v>
      </c>
      <c r="B6" s="27" t="s">
        <v>33</v>
      </c>
      <c r="C6" s="12" t="n">
        <v>847</v>
      </c>
      <c r="E6" s="31" t="n">
        <v>1</v>
      </c>
      <c r="F6" s="27" t="s">
        <v>34</v>
      </c>
      <c r="G6" s="12" t="n">
        <v>919.1</v>
      </c>
      <c r="I6" s="31" t="n">
        <v>1</v>
      </c>
      <c r="J6" s="27" t="s">
        <v>35</v>
      </c>
      <c r="K6" s="12" t="n">
        <v>760.6</v>
      </c>
      <c r="M6" s="31" t="n">
        <v>1</v>
      </c>
      <c r="N6" s="27" t="s">
        <v>36</v>
      </c>
      <c r="O6" s="12" t="n">
        <v>790.4</v>
      </c>
      <c r="Q6" s="31" t="n">
        <v>1</v>
      </c>
      <c r="R6" s="27" t="s">
        <v>36</v>
      </c>
      <c r="S6" s="12" t="n">
        <v>895.5</v>
      </c>
    </row>
    <row r="7" customFormat="false" ht="15" hidden="false" customHeight="false" outlineLevel="0" collapsed="false">
      <c r="A7" s="31" t="n">
        <v>2</v>
      </c>
      <c r="B7" s="27" t="s">
        <v>147</v>
      </c>
      <c r="C7" s="12" t="n">
        <v>837</v>
      </c>
      <c r="E7" s="16" t="n">
        <v>2</v>
      </c>
      <c r="F7" s="36" t="s">
        <v>148</v>
      </c>
      <c r="G7" s="37" t="n">
        <v>762.4</v>
      </c>
      <c r="I7" s="31" t="n">
        <v>2</v>
      </c>
      <c r="J7" s="27" t="s">
        <v>33</v>
      </c>
      <c r="K7" s="12" t="n">
        <v>757.8</v>
      </c>
      <c r="M7" s="31" t="n">
        <v>2</v>
      </c>
      <c r="N7" s="27" t="s">
        <v>149</v>
      </c>
      <c r="O7" s="12" t="n">
        <v>785.2</v>
      </c>
      <c r="Q7" s="31" t="n">
        <v>2</v>
      </c>
      <c r="R7" s="27" t="s">
        <v>35</v>
      </c>
      <c r="S7" s="12" t="n">
        <v>856.7</v>
      </c>
    </row>
    <row r="8" customFormat="false" ht="15" hidden="false" customHeight="false" outlineLevel="0" collapsed="false">
      <c r="A8" s="31" t="n">
        <v>3</v>
      </c>
      <c r="B8" s="27" t="s">
        <v>150</v>
      </c>
      <c r="C8" s="12" t="n">
        <v>661.3</v>
      </c>
      <c r="E8" s="31" t="n">
        <v>3</v>
      </c>
      <c r="F8" s="27" t="s">
        <v>151</v>
      </c>
      <c r="G8" s="12" t="n">
        <v>734.4</v>
      </c>
      <c r="I8" s="31" t="n">
        <v>3</v>
      </c>
      <c r="J8" s="27" t="s">
        <v>152</v>
      </c>
      <c r="K8" s="12" t="n">
        <v>754.1</v>
      </c>
      <c r="M8" s="31" t="n">
        <v>3</v>
      </c>
      <c r="N8" s="27" t="s">
        <v>150</v>
      </c>
      <c r="O8" s="12" t="n">
        <v>772.2</v>
      </c>
      <c r="Q8" s="31" t="n">
        <v>3</v>
      </c>
      <c r="R8" s="27" t="s">
        <v>153</v>
      </c>
      <c r="S8" s="12" t="n">
        <v>807.2</v>
      </c>
    </row>
    <row r="9" customFormat="false" ht="15" hidden="false" customHeight="false" outlineLevel="0" collapsed="false">
      <c r="A9" s="31" t="n">
        <v>4</v>
      </c>
      <c r="B9" s="27" t="s">
        <v>36</v>
      </c>
      <c r="C9" s="12" t="n">
        <v>650.4</v>
      </c>
      <c r="E9" s="31" t="n">
        <v>4</v>
      </c>
      <c r="F9" s="27" t="s">
        <v>35</v>
      </c>
      <c r="G9" s="12" t="n">
        <v>728.3</v>
      </c>
      <c r="I9" s="31" t="n">
        <v>4</v>
      </c>
      <c r="J9" s="27" t="s">
        <v>150</v>
      </c>
      <c r="K9" s="12" t="n">
        <v>751.7</v>
      </c>
      <c r="M9" s="31" t="n">
        <v>4</v>
      </c>
      <c r="N9" s="27" t="s">
        <v>33</v>
      </c>
      <c r="O9" s="12" t="n">
        <v>756.1</v>
      </c>
      <c r="Q9" s="16" t="n">
        <v>4</v>
      </c>
      <c r="R9" s="36" t="s">
        <v>148</v>
      </c>
      <c r="S9" s="37" t="n">
        <v>756.9</v>
      </c>
    </row>
    <row r="10" customFormat="false" ht="15" hidden="false" customHeight="false" outlineLevel="0" collapsed="false">
      <c r="A10" s="16" t="n">
        <v>5</v>
      </c>
      <c r="B10" s="36" t="s">
        <v>148</v>
      </c>
      <c r="C10" s="37" t="n">
        <v>646</v>
      </c>
      <c r="E10" s="31" t="n">
        <v>5</v>
      </c>
      <c r="F10" s="27" t="s">
        <v>154</v>
      </c>
      <c r="G10" s="12" t="n">
        <v>716.5</v>
      </c>
      <c r="I10" s="31" t="n">
        <v>5</v>
      </c>
      <c r="J10" s="27" t="s">
        <v>149</v>
      </c>
      <c r="K10" s="12" t="n">
        <v>724.3</v>
      </c>
      <c r="M10" s="31" t="n">
        <v>5</v>
      </c>
      <c r="N10" s="27" t="s">
        <v>151</v>
      </c>
      <c r="O10" s="12" t="n">
        <v>753.5</v>
      </c>
      <c r="Q10" s="31" t="n">
        <v>5</v>
      </c>
      <c r="R10" s="27" t="s">
        <v>155</v>
      </c>
      <c r="S10" s="12" t="n">
        <v>756.8</v>
      </c>
    </row>
    <row r="11" customFormat="false" ht="15" hidden="false" customHeight="false" outlineLevel="0" collapsed="false">
      <c r="A11" s="31" t="n">
        <v>6</v>
      </c>
      <c r="B11" s="27" t="s">
        <v>156</v>
      </c>
      <c r="C11" s="12" t="n">
        <v>423.7</v>
      </c>
      <c r="E11" s="31" t="n">
        <v>6</v>
      </c>
      <c r="F11" s="27" t="s">
        <v>157</v>
      </c>
      <c r="G11" s="12" t="n">
        <v>622.4</v>
      </c>
      <c r="I11" s="31" t="n">
        <v>6</v>
      </c>
      <c r="J11" s="27" t="s">
        <v>158</v>
      </c>
      <c r="K11" s="12" t="n">
        <v>711.9</v>
      </c>
      <c r="M11" s="31" t="n">
        <v>6</v>
      </c>
      <c r="N11" s="27" t="s">
        <v>153</v>
      </c>
      <c r="O11" s="12" t="n">
        <v>723.4</v>
      </c>
      <c r="Q11" s="31" t="n">
        <v>6</v>
      </c>
      <c r="R11" s="27" t="s">
        <v>152</v>
      </c>
      <c r="S11" s="12" t="n">
        <v>743.9</v>
      </c>
    </row>
    <row r="12" customFormat="false" ht="15" hidden="false" customHeight="false" outlineLevel="0" collapsed="false">
      <c r="A12" s="31" t="n">
        <v>7</v>
      </c>
      <c r="B12" s="27" t="s">
        <v>159</v>
      </c>
      <c r="C12" s="12" t="n">
        <v>384.4</v>
      </c>
      <c r="E12" s="31" t="n">
        <v>7</v>
      </c>
      <c r="F12" s="27" t="s">
        <v>160</v>
      </c>
      <c r="G12" s="12" t="n">
        <v>611.2</v>
      </c>
      <c r="I12" s="31" t="n">
        <v>7</v>
      </c>
      <c r="J12" s="27" t="s">
        <v>161</v>
      </c>
      <c r="K12" s="12" t="n">
        <v>700</v>
      </c>
      <c r="M12" s="31" t="n">
        <v>7</v>
      </c>
      <c r="N12" s="27" t="s">
        <v>162</v>
      </c>
      <c r="O12" s="12" t="n">
        <v>708.6</v>
      </c>
      <c r="Q12" s="31" t="n">
        <v>7</v>
      </c>
      <c r="R12" s="27" t="s">
        <v>163</v>
      </c>
      <c r="S12" s="12" t="n">
        <v>717.5</v>
      </c>
    </row>
    <row r="13" customFormat="false" ht="15" hidden="false" customHeight="false" outlineLevel="0" collapsed="false">
      <c r="A13" s="31" t="n">
        <v>8</v>
      </c>
      <c r="B13" s="27" t="s">
        <v>149</v>
      </c>
      <c r="C13" s="12" t="n">
        <v>337.4</v>
      </c>
      <c r="E13" s="31" t="n">
        <v>8</v>
      </c>
      <c r="F13" s="27" t="s">
        <v>164</v>
      </c>
      <c r="G13" s="12" t="n">
        <v>588.4</v>
      </c>
      <c r="I13" s="31" t="n">
        <v>8</v>
      </c>
      <c r="J13" s="27" t="s">
        <v>151</v>
      </c>
      <c r="K13" s="12" t="n">
        <v>687.6</v>
      </c>
      <c r="M13" s="31" t="n">
        <v>8</v>
      </c>
      <c r="N13" s="27" t="s">
        <v>35</v>
      </c>
      <c r="O13" s="12" t="n">
        <v>701.7</v>
      </c>
      <c r="Q13" s="31" t="n">
        <v>8</v>
      </c>
      <c r="R13" s="27" t="s">
        <v>165</v>
      </c>
      <c r="S13" s="12" t="n">
        <v>696</v>
      </c>
    </row>
    <row r="14" customFormat="false" ht="15" hidden="false" customHeight="false" outlineLevel="0" collapsed="false">
      <c r="A14" s="31" t="n">
        <v>9</v>
      </c>
      <c r="B14" s="27" t="s">
        <v>166</v>
      </c>
      <c r="C14" s="12" t="n">
        <v>276.3</v>
      </c>
      <c r="E14" s="31" t="n">
        <v>9</v>
      </c>
      <c r="F14" s="27" t="s">
        <v>167</v>
      </c>
      <c r="G14" s="12" t="n">
        <v>575.8</v>
      </c>
      <c r="I14" s="31" t="n">
        <v>9</v>
      </c>
      <c r="J14" s="27" t="s">
        <v>153</v>
      </c>
      <c r="K14" s="12" t="n">
        <v>682.7</v>
      </c>
      <c r="M14" s="31" t="n">
        <v>9</v>
      </c>
      <c r="N14" s="27" t="s">
        <v>168</v>
      </c>
      <c r="O14" s="12" t="n">
        <v>597.6</v>
      </c>
      <c r="Q14" s="31" t="n">
        <v>9</v>
      </c>
      <c r="R14" s="27" t="s">
        <v>158</v>
      </c>
      <c r="S14" s="12" t="n">
        <v>681.3</v>
      </c>
    </row>
    <row r="15" customFormat="false" ht="15" hidden="false" customHeight="false" outlineLevel="0" collapsed="false">
      <c r="A15" s="31" t="n">
        <v>10</v>
      </c>
      <c r="B15" s="27" t="s">
        <v>169</v>
      </c>
      <c r="C15" s="12" t="n">
        <v>272.3</v>
      </c>
      <c r="E15" s="31" t="n">
        <v>10</v>
      </c>
      <c r="F15" s="27" t="s">
        <v>150</v>
      </c>
      <c r="G15" s="12" t="n">
        <v>545.1</v>
      </c>
      <c r="I15" s="31" t="n">
        <v>10</v>
      </c>
      <c r="J15" s="27" t="s">
        <v>154</v>
      </c>
      <c r="K15" s="12" t="n">
        <v>682.7</v>
      </c>
      <c r="M15" s="31" t="n">
        <v>10</v>
      </c>
      <c r="N15" s="27" t="s">
        <v>170</v>
      </c>
      <c r="O15" s="12" t="n">
        <v>593</v>
      </c>
      <c r="Q15" s="31" t="n">
        <v>10</v>
      </c>
      <c r="R15" s="27" t="s">
        <v>147</v>
      </c>
      <c r="S15" s="12" t="n">
        <v>671.3</v>
      </c>
    </row>
    <row r="17" customFormat="false" ht="15" hidden="false" customHeight="false" outlineLevel="0" collapsed="false">
      <c r="I17" s="16" t="n">
        <v>14</v>
      </c>
      <c r="J17" s="36" t="s">
        <v>148</v>
      </c>
      <c r="K17" s="37" t="n">
        <v>589.9</v>
      </c>
      <c r="M17" s="16" t="n">
        <v>13</v>
      </c>
      <c r="N17" s="36" t="s">
        <v>148</v>
      </c>
      <c r="O17" s="37" t="n">
        <v>518</v>
      </c>
    </row>
  </sheetData>
  <mergeCells count="7">
    <mergeCell ref="A1:T1"/>
    <mergeCell ref="A2:T2"/>
    <mergeCell ref="A4:C4"/>
    <mergeCell ref="E4:G4"/>
    <mergeCell ref="I4:K4"/>
    <mergeCell ref="M4:O4"/>
    <mergeCell ref="Q4:S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8102E"/>
    <pageSetUpPr fitToPage="true"/>
  </sheetPr>
  <dimension ref="A1:O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2" min="1" style="0" width="7"/>
    <col collapsed="false" customWidth="true" hidden="false" outlineLevel="0" max="3" min="3" style="0" width="36"/>
    <col collapsed="false" customWidth="true" hidden="false" outlineLevel="0" max="5" min="4" style="0" width="9"/>
    <col collapsed="false" customWidth="true" hidden="false" outlineLevel="0" max="6" min="6" style="0" width="10"/>
    <col collapsed="false" customWidth="true" hidden="false" outlineLevel="0" max="9" min="7" style="0" width="9"/>
    <col collapsed="false" customWidth="true" hidden="false" outlineLevel="0" max="13" min="10" style="0" width="10"/>
    <col collapsed="false" customWidth="true" hidden="false" outlineLevel="0" max="15" min="14" style="0" width="10.99"/>
  </cols>
  <sheetData>
    <row r="1" customFormat="false" ht="33.75" hidden="false" customHeight="true" outlineLevel="0" collapsed="false">
      <c r="A1" s="1" t="s">
        <v>171</v>
      </c>
      <c r="B1" s="1"/>
      <c r="C1" s="1"/>
      <c r="D1" s="1"/>
      <c r="E1" s="1"/>
      <c r="F1" s="1"/>
      <c r="G1" s="1"/>
      <c r="H1" s="1"/>
      <c r="I1" s="1"/>
      <c r="J1" s="1"/>
      <c r="K1" s="1"/>
      <c r="L1" s="1"/>
      <c r="M1" s="1"/>
      <c r="N1" s="1"/>
      <c r="O1" s="1"/>
    </row>
    <row r="2" customFormat="false" ht="24" hidden="false" customHeight="true" outlineLevel="0" collapsed="false">
      <c r="A2" s="2" t="s">
        <v>172</v>
      </c>
      <c r="B2" s="2"/>
      <c r="C2" s="2"/>
      <c r="D2" s="2"/>
      <c r="E2" s="2"/>
      <c r="F2" s="2"/>
      <c r="G2" s="2"/>
      <c r="H2" s="2"/>
      <c r="I2" s="2"/>
      <c r="J2" s="2"/>
      <c r="K2" s="2"/>
      <c r="L2" s="2"/>
      <c r="M2" s="2"/>
      <c r="N2" s="2"/>
      <c r="O2" s="2"/>
    </row>
    <row r="4" customFormat="false" ht="33.75" hidden="false" customHeight="true" outlineLevel="0" collapsed="false">
      <c r="A4" s="8" t="s">
        <v>8</v>
      </c>
      <c r="B4" s="8" t="s">
        <v>173</v>
      </c>
      <c r="C4" s="8" t="s">
        <v>145</v>
      </c>
      <c r="D4" s="8" t="s">
        <v>146</v>
      </c>
      <c r="E4" s="8" t="s">
        <v>16</v>
      </c>
      <c r="F4" s="8" t="s">
        <v>174</v>
      </c>
      <c r="G4" s="8" t="s">
        <v>17</v>
      </c>
      <c r="H4" s="8" t="s">
        <v>48</v>
      </c>
      <c r="I4" s="8" t="s">
        <v>49</v>
      </c>
      <c r="J4" s="8" t="s">
        <v>175</v>
      </c>
      <c r="K4" s="8" t="s">
        <v>176</v>
      </c>
      <c r="L4" s="8" t="s">
        <v>177</v>
      </c>
      <c r="M4" s="8" t="s">
        <v>178</v>
      </c>
      <c r="N4" s="8" t="s">
        <v>179</v>
      </c>
      <c r="O4" s="8" t="s">
        <v>180</v>
      </c>
    </row>
    <row r="5" customFormat="false" ht="15" hidden="false" customHeight="false" outlineLevel="0" collapsed="false">
      <c r="A5" s="31" t="n">
        <v>1</v>
      </c>
      <c r="B5" s="31" t="n">
        <v>1</v>
      </c>
      <c r="C5" s="27" t="s">
        <v>36</v>
      </c>
      <c r="D5" s="12" t="n">
        <v>895.5</v>
      </c>
      <c r="E5" s="12" t="n">
        <v>89.1</v>
      </c>
      <c r="F5" s="12" t="n">
        <v>75</v>
      </c>
      <c r="G5" s="12" t="n">
        <v>134</v>
      </c>
      <c r="H5" s="12" t="n">
        <v>81.8</v>
      </c>
      <c r="I5" s="12" t="n">
        <v>67.7</v>
      </c>
      <c r="J5" s="12" t="n">
        <v>124.4</v>
      </c>
      <c r="K5" s="12" t="n">
        <v>275</v>
      </c>
      <c r="L5" s="12" t="n">
        <v>48.6</v>
      </c>
      <c r="M5" s="12"/>
      <c r="N5" s="12" t="n">
        <f aca="false">SUM(E5:L5)+N(M5)</f>
        <v>895.6</v>
      </c>
      <c r="O5" s="38" t="n">
        <f aca="false">N5-D5</f>
        <v>0.100000000000023</v>
      </c>
    </row>
    <row r="6" customFormat="false" ht="15" hidden="false" customHeight="false" outlineLevel="0" collapsed="false">
      <c r="A6" s="31" t="n">
        <v>2</v>
      </c>
      <c r="B6" s="31" t="n">
        <v>8</v>
      </c>
      <c r="C6" s="27" t="s">
        <v>35</v>
      </c>
      <c r="D6" s="12" t="n">
        <v>856.7</v>
      </c>
      <c r="E6" s="12" t="n">
        <v>78.4</v>
      </c>
      <c r="F6" s="12" t="n">
        <v>73.4</v>
      </c>
      <c r="G6" s="12" t="n">
        <v>141</v>
      </c>
      <c r="H6" s="12" t="n">
        <v>95.1</v>
      </c>
      <c r="I6" s="12" t="n">
        <v>75</v>
      </c>
      <c r="J6" s="12" t="n">
        <v>125</v>
      </c>
      <c r="K6" s="12" t="n">
        <v>216.5</v>
      </c>
      <c r="L6" s="12" t="n">
        <v>52.3</v>
      </c>
      <c r="M6" s="12"/>
      <c r="N6" s="12" t="n">
        <f aca="false">SUM(E6:L6)+N(M6)</f>
        <v>856.7</v>
      </c>
      <c r="O6" s="38" t="n">
        <f aca="false">N6-D6</f>
        <v>0</v>
      </c>
    </row>
    <row r="7" customFormat="false" ht="15" hidden="false" customHeight="false" outlineLevel="0" collapsed="false">
      <c r="A7" s="31" t="n">
        <v>3</v>
      </c>
      <c r="B7" s="31" t="n">
        <v>6</v>
      </c>
      <c r="C7" s="27" t="s">
        <v>153</v>
      </c>
      <c r="D7" s="12" t="n">
        <v>807.2</v>
      </c>
      <c r="E7" s="12" t="n">
        <v>86.5</v>
      </c>
      <c r="F7" s="12" t="n">
        <v>17.6</v>
      </c>
      <c r="G7" s="12" t="n">
        <v>140</v>
      </c>
      <c r="H7" s="12" t="n">
        <v>83.4</v>
      </c>
      <c r="I7" s="12" t="n">
        <v>56.1</v>
      </c>
      <c r="J7" s="12" t="n">
        <v>117</v>
      </c>
      <c r="K7" s="12" t="n">
        <v>206.5</v>
      </c>
      <c r="L7" s="12" t="n">
        <v>100</v>
      </c>
      <c r="M7" s="12"/>
      <c r="N7" s="12" t="n">
        <f aca="false">SUM(E7:L7)+N(M7)</f>
        <v>807.1</v>
      </c>
      <c r="O7" s="38" t="n">
        <f aca="false">N7-D7</f>
        <v>-0.100000000000023</v>
      </c>
    </row>
    <row r="8" customFormat="false" ht="15" hidden="false" customHeight="false" outlineLevel="0" collapsed="false">
      <c r="A8" s="16" t="n">
        <v>4</v>
      </c>
      <c r="B8" s="16" t="n">
        <v>46</v>
      </c>
      <c r="C8" s="36" t="s">
        <v>148</v>
      </c>
      <c r="D8" s="37" t="n">
        <v>756.9</v>
      </c>
      <c r="E8" s="37" t="n">
        <v>98</v>
      </c>
      <c r="F8" s="37" t="n">
        <v>30.2</v>
      </c>
      <c r="G8" s="37" t="n">
        <v>143</v>
      </c>
      <c r="H8" s="37" t="n">
        <v>93.7</v>
      </c>
      <c r="I8" s="37" t="n">
        <v>55</v>
      </c>
      <c r="J8" s="37" t="n">
        <v>109.4</v>
      </c>
      <c r="K8" s="37" t="n">
        <v>186.2</v>
      </c>
      <c r="L8" s="37" t="n">
        <v>41.4</v>
      </c>
      <c r="M8" s="37"/>
      <c r="N8" s="19" t="n">
        <f aca="false">SUM(E8:L8)+N(M8)</f>
        <v>756.9</v>
      </c>
      <c r="O8" s="39" t="n">
        <f aca="false">N8-D8</f>
        <v>0</v>
      </c>
    </row>
    <row r="9" customFormat="false" ht="15" hidden="false" customHeight="false" outlineLevel="0" collapsed="false">
      <c r="A9" s="31" t="n">
        <v>5</v>
      </c>
      <c r="B9" s="31" t="n">
        <v>103</v>
      </c>
      <c r="C9" s="27" t="s">
        <v>155</v>
      </c>
      <c r="D9" s="12" t="n">
        <v>756.8</v>
      </c>
      <c r="E9" s="12" t="n">
        <v>91.8</v>
      </c>
      <c r="F9" s="12" t="n">
        <v>70.6</v>
      </c>
      <c r="G9" s="12" t="n">
        <v>90</v>
      </c>
      <c r="H9" s="12" t="n">
        <v>52.9</v>
      </c>
      <c r="I9" s="12" t="n">
        <v>65.1</v>
      </c>
      <c r="J9" s="12" t="n">
        <v>118.2</v>
      </c>
      <c r="K9" s="12" t="n">
        <v>202.2</v>
      </c>
      <c r="L9" s="12" t="n">
        <v>66.1</v>
      </c>
      <c r="M9" s="12"/>
      <c r="N9" s="12" t="n">
        <f aca="false">SUM(E9:L9)+N(M9)</f>
        <v>756.9</v>
      </c>
      <c r="O9" s="38" t="n">
        <f aca="false">N9-D9</f>
        <v>0.100000000000023</v>
      </c>
    </row>
    <row r="10" customFormat="false" ht="15" hidden="false" customHeight="false" outlineLevel="0" collapsed="false">
      <c r="A10" s="31" t="n">
        <v>6</v>
      </c>
      <c r="B10" s="31" t="n">
        <v>38</v>
      </c>
      <c r="C10" s="27" t="s">
        <v>152</v>
      </c>
      <c r="D10" s="12" t="n">
        <v>743.9</v>
      </c>
      <c r="E10" s="12" t="n">
        <v>84.2</v>
      </c>
      <c r="F10" s="12" t="n">
        <v>15</v>
      </c>
      <c r="G10" s="12" t="n">
        <v>150</v>
      </c>
      <c r="H10" s="12" t="n">
        <v>100</v>
      </c>
      <c r="I10" s="12" t="n">
        <v>56.6</v>
      </c>
      <c r="J10" s="12" t="n">
        <v>121.6</v>
      </c>
      <c r="K10" s="12" t="n">
        <v>158.1</v>
      </c>
      <c r="L10" s="12" t="n">
        <v>58.4</v>
      </c>
      <c r="M10" s="12"/>
      <c r="N10" s="12" t="n">
        <f aca="false">SUM(E10:L10)+N(M10)</f>
        <v>743.9</v>
      </c>
      <c r="O10" s="38" t="n">
        <f aca="false">N10-D10</f>
        <v>0</v>
      </c>
    </row>
    <row r="11" customFormat="false" ht="15" hidden="false" customHeight="false" outlineLevel="0" collapsed="false">
      <c r="A11" s="31" t="n">
        <v>7</v>
      </c>
      <c r="B11" s="31" t="n">
        <v>62</v>
      </c>
      <c r="C11" s="27" t="s">
        <v>163</v>
      </c>
      <c r="D11" s="12" t="n">
        <v>717.5</v>
      </c>
      <c r="E11" s="12" t="n">
        <v>84.1</v>
      </c>
      <c r="F11" s="12" t="n">
        <v>37.4</v>
      </c>
      <c r="G11" s="12" t="n">
        <v>120</v>
      </c>
      <c r="H11" s="12" t="n">
        <v>45.8</v>
      </c>
      <c r="I11" s="12" t="n">
        <v>45.5</v>
      </c>
      <c r="J11" s="12" t="n">
        <v>101.6</v>
      </c>
      <c r="K11" s="12" t="n">
        <v>227.3</v>
      </c>
      <c r="L11" s="12" t="n">
        <v>55.8</v>
      </c>
      <c r="M11" s="12"/>
      <c r="N11" s="12" t="n">
        <f aca="false">SUM(E11:L11)+N(M11)</f>
        <v>717.5</v>
      </c>
      <c r="O11" s="38" t="n">
        <f aca="false">N11-D11</f>
        <v>0</v>
      </c>
    </row>
    <row r="12" customFormat="false" ht="15" hidden="false" customHeight="false" outlineLevel="0" collapsed="false">
      <c r="A12" s="31" t="n">
        <v>8</v>
      </c>
      <c r="B12" s="31" t="n">
        <v>30</v>
      </c>
      <c r="C12" s="27" t="s">
        <v>165</v>
      </c>
      <c r="D12" s="12" t="n">
        <v>696</v>
      </c>
      <c r="E12" s="12" t="n">
        <v>63.4</v>
      </c>
      <c r="F12" s="12" t="n">
        <v>33.7</v>
      </c>
      <c r="G12" s="12" t="n">
        <v>132</v>
      </c>
      <c r="H12" s="12" t="n">
        <v>47.1</v>
      </c>
      <c r="I12" s="12" t="n">
        <v>52.6</v>
      </c>
      <c r="J12" s="12" t="n">
        <v>106.1</v>
      </c>
      <c r="K12" s="12" t="n">
        <v>218.1</v>
      </c>
      <c r="L12" s="12" t="n">
        <v>43</v>
      </c>
      <c r="M12" s="12"/>
      <c r="N12" s="12" t="n">
        <f aca="false">SUM(E12:L12)+N(M12)</f>
        <v>696</v>
      </c>
      <c r="O12" s="38" t="n">
        <f aca="false">N12-D12</f>
        <v>0</v>
      </c>
    </row>
    <row r="13" customFormat="false" ht="15" hidden="false" customHeight="false" outlineLevel="0" collapsed="false">
      <c r="A13" s="31" t="n">
        <v>9</v>
      </c>
      <c r="B13" s="31" t="n">
        <v>19</v>
      </c>
      <c r="C13" s="27" t="s">
        <v>158</v>
      </c>
      <c r="D13" s="12" t="n">
        <v>681.3</v>
      </c>
      <c r="E13" s="12" t="n">
        <v>83.1</v>
      </c>
      <c r="F13" s="12" t="n">
        <v>19.1</v>
      </c>
      <c r="G13" s="12" t="n">
        <v>138</v>
      </c>
      <c r="H13" s="12" t="n">
        <v>89.4</v>
      </c>
      <c r="I13" s="12" t="n">
        <v>24.9</v>
      </c>
      <c r="J13" s="12" t="n">
        <v>97.7</v>
      </c>
      <c r="K13" s="12" t="n">
        <v>186.8</v>
      </c>
      <c r="L13" s="12" t="n">
        <v>42.2</v>
      </c>
      <c r="M13" s="12"/>
      <c r="N13" s="12" t="n">
        <f aca="false">SUM(E13:L13)+N(M13)</f>
        <v>681.2</v>
      </c>
      <c r="O13" s="38" t="n">
        <f aca="false">N13-D13</f>
        <v>-0.0999999999999091</v>
      </c>
    </row>
    <row r="14" customFormat="false" ht="15" hidden="false" customHeight="false" outlineLevel="0" collapsed="false">
      <c r="A14" s="31" t="n">
        <v>10</v>
      </c>
      <c r="B14" s="31" t="n">
        <v>65</v>
      </c>
      <c r="C14" s="27" t="s">
        <v>147</v>
      </c>
      <c r="D14" s="12" t="n">
        <v>671.3</v>
      </c>
      <c r="E14" s="12" t="n">
        <v>85</v>
      </c>
      <c r="F14" s="12" t="n">
        <v>70.7</v>
      </c>
      <c r="G14" s="12" t="n">
        <v>115</v>
      </c>
      <c r="H14" s="12" t="n">
        <v>57.3</v>
      </c>
      <c r="I14" s="12" t="n">
        <v>50.5</v>
      </c>
      <c r="J14" s="12" t="n">
        <v>101.4</v>
      </c>
      <c r="K14" s="12" t="n">
        <v>151.3</v>
      </c>
      <c r="L14" s="12" t="n">
        <v>40.1</v>
      </c>
      <c r="M14" s="12"/>
      <c r="N14" s="12" t="n">
        <f aca="false">SUM(E14:L14)+N(M14)</f>
        <v>671.3</v>
      </c>
      <c r="O14" s="38" t="n">
        <f aca="false">N14-D14</f>
        <v>0</v>
      </c>
    </row>
    <row r="15" customFormat="false" ht="15" hidden="false" customHeight="false" outlineLevel="0" collapsed="false">
      <c r="A15" s="31" t="n">
        <v>11</v>
      </c>
      <c r="B15" s="31" t="n">
        <v>99</v>
      </c>
      <c r="C15" s="27" t="s">
        <v>34</v>
      </c>
      <c r="D15" s="12" t="n">
        <v>625.8</v>
      </c>
      <c r="E15" s="12" t="n">
        <v>77.8</v>
      </c>
      <c r="F15" s="12" t="n">
        <v>68</v>
      </c>
      <c r="G15" s="12" t="n">
        <v>138</v>
      </c>
      <c r="H15" s="12" t="n">
        <v>98.6</v>
      </c>
      <c r="I15" s="12" t="n">
        <v>56.3</v>
      </c>
      <c r="J15" s="12" t="n">
        <v>115</v>
      </c>
      <c r="K15" s="12" t="n">
        <v>15</v>
      </c>
      <c r="L15" s="12" t="n">
        <v>57.1</v>
      </c>
      <c r="M15" s="12"/>
      <c r="N15" s="12" t="n">
        <f aca="false">SUM(E15:L15)+N(M15)</f>
        <v>625.8</v>
      </c>
      <c r="O15" s="38" t="n">
        <f aca="false">N15-D15</f>
        <v>0</v>
      </c>
    </row>
    <row r="16" customFormat="false" ht="15" hidden="false" customHeight="false" outlineLevel="0" collapsed="false">
      <c r="A16" s="31" t="n">
        <v>12</v>
      </c>
      <c r="B16" s="31" t="n">
        <v>98</v>
      </c>
      <c r="C16" s="27" t="s">
        <v>181</v>
      </c>
      <c r="D16" s="12" t="n">
        <v>609.7</v>
      </c>
      <c r="E16" s="12" t="n">
        <v>62.5</v>
      </c>
      <c r="F16" s="12" t="n">
        <v>19.5</v>
      </c>
      <c r="G16" s="12" t="n">
        <v>115</v>
      </c>
      <c r="H16" s="12" t="n">
        <v>66.9</v>
      </c>
      <c r="I16" s="12" t="n">
        <v>43.9</v>
      </c>
      <c r="J16" s="12" t="n">
        <v>118.8</v>
      </c>
      <c r="K16" s="12" t="n">
        <v>154.9</v>
      </c>
      <c r="L16" s="12" t="n">
        <v>28.2</v>
      </c>
      <c r="M16" s="12"/>
      <c r="N16" s="12" t="n">
        <f aca="false">SUM(E16:L16)+N(M16)</f>
        <v>609.7</v>
      </c>
      <c r="O16" s="38" t="n">
        <f aca="false">N16-D16</f>
        <v>0</v>
      </c>
    </row>
    <row r="17" customFormat="false" ht="15" hidden="false" customHeight="false" outlineLevel="0" collapsed="false">
      <c r="A17" s="31" t="n">
        <v>13</v>
      </c>
      <c r="B17" s="31" t="n">
        <v>14</v>
      </c>
      <c r="C17" s="27" t="s">
        <v>182</v>
      </c>
      <c r="D17" s="12" t="n">
        <v>576.1</v>
      </c>
      <c r="E17" s="12" t="n">
        <v>68.5</v>
      </c>
      <c r="F17" s="12" t="n">
        <v>30.1</v>
      </c>
      <c r="G17" s="12" t="n">
        <v>90</v>
      </c>
      <c r="H17" s="12" t="n">
        <v>93.8</v>
      </c>
      <c r="I17" s="12" t="n">
        <v>42.1</v>
      </c>
      <c r="J17" s="12" t="n">
        <v>49.3</v>
      </c>
      <c r="K17" s="12" t="n">
        <v>202.3</v>
      </c>
      <c r="L17" s="12"/>
      <c r="M17" s="12"/>
      <c r="N17" s="12" t="n">
        <f aca="false">SUM(E17:L17)+N(M17)</f>
        <v>576.1</v>
      </c>
      <c r="O17" s="38" t="n">
        <f aca="false">N17-D17</f>
        <v>0</v>
      </c>
    </row>
    <row r="18" customFormat="false" ht="15" hidden="false" customHeight="false" outlineLevel="0" collapsed="false">
      <c r="A18" s="31" t="n">
        <v>14</v>
      </c>
      <c r="B18" s="31" t="n">
        <v>5</v>
      </c>
      <c r="C18" s="27" t="s">
        <v>151</v>
      </c>
      <c r="D18" s="12" t="n">
        <v>562.4</v>
      </c>
      <c r="E18" s="12" t="n">
        <v>89.8</v>
      </c>
      <c r="F18" s="12" t="n">
        <v>52.6</v>
      </c>
      <c r="G18" s="12" t="n">
        <v>146</v>
      </c>
      <c r="H18" s="12" t="n">
        <v>90.8</v>
      </c>
      <c r="I18" s="12" t="n">
        <v>69.4</v>
      </c>
      <c r="J18" s="12" t="n">
        <v>107.8</v>
      </c>
      <c r="K18" s="12" t="n">
        <v>6</v>
      </c>
      <c r="L18" s="12"/>
      <c r="M18" s="12"/>
      <c r="N18" s="12" t="n">
        <f aca="false">SUM(E18:L18)+N(M18)</f>
        <v>562.4</v>
      </c>
      <c r="O18" s="38" t="n">
        <f aca="false">N18-D18</f>
        <v>0</v>
      </c>
    </row>
    <row r="19" customFormat="false" ht="15" hidden="false" customHeight="false" outlineLevel="0" collapsed="false">
      <c r="A19" s="31" t="n">
        <v>15</v>
      </c>
      <c r="B19" s="31" t="n">
        <v>70</v>
      </c>
      <c r="C19" s="27" t="s">
        <v>166</v>
      </c>
      <c r="D19" s="12" t="n">
        <v>543</v>
      </c>
      <c r="E19" s="12" t="n">
        <v>89.7</v>
      </c>
      <c r="F19" s="12" t="n">
        <v>75</v>
      </c>
      <c r="G19" s="12" t="n">
        <v>139</v>
      </c>
      <c r="H19" s="12" t="n">
        <v>61</v>
      </c>
      <c r="I19" s="12" t="n">
        <v>36.5</v>
      </c>
      <c r="J19" s="12" t="n">
        <v>0</v>
      </c>
      <c r="K19" s="12" t="n">
        <v>104.1</v>
      </c>
      <c r="L19" s="12" t="n">
        <v>37.6</v>
      </c>
      <c r="M19" s="12"/>
      <c r="N19" s="12" t="n">
        <f aca="false">SUM(E19:L19)+N(M19)</f>
        <v>542.9</v>
      </c>
      <c r="O19" s="38" t="n">
        <f aca="false">N19-D19</f>
        <v>-0.100000000000023</v>
      </c>
    </row>
    <row r="20" customFormat="false" ht="15" hidden="false" customHeight="false" outlineLevel="0" collapsed="false">
      <c r="A20" s="31" t="n">
        <v>16</v>
      </c>
      <c r="B20" s="31" t="n">
        <v>111</v>
      </c>
      <c r="C20" s="27" t="s">
        <v>183</v>
      </c>
      <c r="D20" s="12" t="n">
        <v>527.8</v>
      </c>
      <c r="E20" s="12" t="n">
        <v>46.6</v>
      </c>
      <c r="F20" s="12" t="n">
        <v>15.5</v>
      </c>
      <c r="G20" s="12" t="n">
        <v>100</v>
      </c>
      <c r="H20" s="12" t="n">
        <v>79.1</v>
      </c>
      <c r="I20" s="12" t="n">
        <v>51.6</v>
      </c>
      <c r="J20" s="12" t="n">
        <v>94.2</v>
      </c>
      <c r="K20" s="12" t="n">
        <v>112.1</v>
      </c>
      <c r="L20" s="12" t="n">
        <v>28.7</v>
      </c>
      <c r="M20" s="12"/>
      <c r="N20" s="12" t="n">
        <f aca="false">SUM(E20:L20)+N(M20)</f>
        <v>527.8</v>
      </c>
      <c r="O20" s="38" t="n">
        <f aca="false">N20-D20</f>
        <v>0</v>
      </c>
    </row>
    <row r="21" customFormat="false" ht="15" hidden="false" customHeight="false" outlineLevel="0" collapsed="false">
      <c r="A21" s="31" t="n">
        <v>17</v>
      </c>
      <c r="B21" s="31" t="n">
        <v>26</v>
      </c>
      <c r="C21" s="27" t="s">
        <v>184</v>
      </c>
      <c r="D21" s="12" t="n">
        <v>508.5</v>
      </c>
      <c r="E21" s="12" t="n">
        <v>90.2</v>
      </c>
      <c r="F21" s="12" t="n">
        <v>18.8</v>
      </c>
      <c r="G21" s="12" t="n">
        <v>65</v>
      </c>
      <c r="H21" s="12" t="n">
        <v>31.4</v>
      </c>
      <c r="I21" s="12" t="n">
        <v>24</v>
      </c>
      <c r="J21" s="12" t="n">
        <v>78.2</v>
      </c>
      <c r="K21" s="12" t="n">
        <v>129.2</v>
      </c>
      <c r="L21" s="12" t="n">
        <v>71.7</v>
      </c>
      <c r="M21" s="12"/>
      <c r="N21" s="12" t="n">
        <f aca="false">SUM(E21:L21)+N(M21)</f>
        <v>508.5</v>
      </c>
      <c r="O21" s="38" t="n">
        <f aca="false">N21-D21</f>
        <v>0</v>
      </c>
    </row>
    <row r="22" customFormat="false" ht="15" hidden="false" customHeight="false" outlineLevel="0" collapsed="false">
      <c r="A22" s="31" t="n">
        <v>18</v>
      </c>
      <c r="B22" s="31" t="n">
        <v>21</v>
      </c>
      <c r="C22" s="27" t="s">
        <v>185</v>
      </c>
      <c r="D22" s="12" t="n">
        <v>491.6</v>
      </c>
      <c r="E22" s="12" t="n">
        <v>69.7</v>
      </c>
      <c r="F22" s="12" t="n">
        <v>16.5</v>
      </c>
      <c r="G22" s="12" t="n">
        <v>65</v>
      </c>
      <c r="H22" s="12" t="n">
        <v>55.6</v>
      </c>
      <c r="I22" s="12" t="n">
        <v>51.8</v>
      </c>
      <c r="J22" s="12" t="n">
        <v>102.2</v>
      </c>
      <c r="K22" s="12" t="n">
        <v>81.5</v>
      </c>
      <c r="L22" s="12" t="n">
        <v>49.3</v>
      </c>
      <c r="M22" s="12"/>
      <c r="N22" s="12" t="n">
        <f aca="false">SUM(E22:L22)+N(M22)</f>
        <v>491.6</v>
      </c>
      <c r="O22" s="38" t="n">
        <f aca="false">N22-D22</f>
        <v>0</v>
      </c>
    </row>
    <row r="23" customFormat="false" ht="15" hidden="false" customHeight="false" outlineLevel="0" collapsed="false">
      <c r="A23" s="31" t="n">
        <v>19</v>
      </c>
      <c r="B23" s="31" t="n">
        <v>43</v>
      </c>
      <c r="C23" s="27" t="s">
        <v>186</v>
      </c>
      <c r="D23" s="12" t="n">
        <v>475.1</v>
      </c>
      <c r="E23" s="12" t="n">
        <v>94.6</v>
      </c>
      <c r="F23" s="12" t="n">
        <v>48.1</v>
      </c>
      <c r="G23" s="12" t="n">
        <v>95</v>
      </c>
      <c r="H23" s="12" t="n">
        <v>47.8</v>
      </c>
      <c r="I23" s="12" t="n">
        <v>45.8</v>
      </c>
      <c r="J23" s="12" t="n">
        <v>81.8</v>
      </c>
      <c r="K23" s="12" t="n">
        <v>24</v>
      </c>
      <c r="L23" s="12" t="n">
        <v>38</v>
      </c>
      <c r="M23" s="12"/>
      <c r="N23" s="12" t="n">
        <f aca="false">SUM(E23:L23)+N(M23)</f>
        <v>475.1</v>
      </c>
      <c r="O23" s="38" t="n">
        <f aca="false">N23-D23</f>
        <v>0</v>
      </c>
    </row>
    <row r="24" customFormat="false" ht="15" hidden="false" customHeight="false" outlineLevel="0" collapsed="false">
      <c r="A24" s="31" t="n">
        <v>20</v>
      </c>
      <c r="B24" s="31" t="n">
        <v>9</v>
      </c>
      <c r="C24" s="27" t="s">
        <v>168</v>
      </c>
      <c r="D24" s="12" t="n">
        <v>462</v>
      </c>
      <c r="E24" s="12" t="n">
        <v>52.3</v>
      </c>
      <c r="F24" s="12" t="n">
        <v>68.5</v>
      </c>
      <c r="G24" s="12" t="n">
        <v>105</v>
      </c>
      <c r="H24" s="12" t="n">
        <v>75.1</v>
      </c>
      <c r="I24" s="12" t="n">
        <v>51.1</v>
      </c>
      <c r="J24" s="12" t="n">
        <v>99.9</v>
      </c>
      <c r="K24" s="12" t="n">
        <v>10</v>
      </c>
      <c r="L24" s="12"/>
      <c r="M24" s="12"/>
      <c r="N24" s="12" t="n">
        <f aca="false">SUM(E24:L24)+N(M24)</f>
        <v>461.9</v>
      </c>
      <c r="O24" s="38" t="n">
        <f aca="false">N24-D24</f>
        <v>-0.100000000000023</v>
      </c>
    </row>
    <row r="25" customFormat="false" ht="15" hidden="false" customHeight="false" outlineLevel="0" collapsed="false">
      <c r="A25" s="31" t="n">
        <v>21</v>
      </c>
      <c r="B25" s="31" t="n">
        <v>86</v>
      </c>
      <c r="C25" s="27" t="s">
        <v>187</v>
      </c>
      <c r="D25" s="12" t="n">
        <v>429.4</v>
      </c>
      <c r="E25" s="12" t="n">
        <v>67.5</v>
      </c>
      <c r="F25" s="12" t="n">
        <v>49.3</v>
      </c>
      <c r="G25" s="12" t="n">
        <v>65</v>
      </c>
      <c r="H25" s="12" t="n">
        <v>4.5</v>
      </c>
      <c r="I25" s="12" t="n">
        <v>21.8</v>
      </c>
      <c r="J25" s="12" t="n">
        <v>64.7</v>
      </c>
      <c r="K25" s="12" t="n">
        <v>67.4</v>
      </c>
      <c r="L25" s="12" t="n">
        <v>89.2</v>
      </c>
      <c r="M25" s="12"/>
      <c r="N25" s="12" t="n">
        <f aca="false">SUM(E25:L25)+N(M25)</f>
        <v>429.4</v>
      </c>
      <c r="O25" s="38" t="n">
        <f aca="false">N25-D25</f>
        <v>0</v>
      </c>
    </row>
    <row r="26" customFormat="false" ht="15" hidden="false" customHeight="false" outlineLevel="0" collapsed="false">
      <c r="A26" s="31" t="n">
        <v>22</v>
      </c>
      <c r="B26" s="31" t="n">
        <v>112</v>
      </c>
      <c r="C26" s="27" t="s">
        <v>188</v>
      </c>
      <c r="D26" s="12" t="n">
        <v>394.3</v>
      </c>
      <c r="E26" s="12" t="n">
        <v>85.2</v>
      </c>
      <c r="F26" s="12" t="n">
        <v>62</v>
      </c>
      <c r="G26" s="12" t="n">
        <v>95</v>
      </c>
      <c r="H26" s="12"/>
      <c r="I26" s="12"/>
      <c r="J26" s="12" t="n">
        <v>6.5</v>
      </c>
      <c r="K26" s="12" t="n">
        <v>111.1</v>
      </c>
      <c r="L26" s="12" t="n">
        <v>34.4</v>
      </c>
      <c r="M26" s="12"/>
      <c r="N26" s="12" t="n">
        <f aca="false">SUM(E26:L26)+N(M26)</f>
        <v>394.2</v>
      </c>
      <c r="O26" s="38" t="n">
        <f aca="false">N26-D26</f>
        <v>-0.100000000000023</v>
      </c>
    </row>
    <row r="27" customFormat="false" ht="15" hidden="false" customHeight="false" outlineLevel="0" collapsed="false">
      <c r="A27" s="31" t="n">
        <v>23</v>
      </c>
      <c r="B27" s="31" t="n">
        <v>2</v>
      </c>
      <c r="C27" s="27" t="s">
        <v>149</v>
      </c>
      <c r="D27" s="12" t="n">
        <v>391.5</v>
      </c>
      <c r="E27" s="12" t="n">
        <v>81.3</v>
      </c>
      <c r="F27" s="12" t="n">
        <v>20</v>
      </c>
      <c r="G27" s="12" t="n">
        <v>115</v>
      </c>
      <c r="H27" s="12"/>
      <c r="I27" s="12" t="n">
        <v>50.9</v>
      </c>
      <c r="J27" s="12" t="n">
        <v>117.4</v>
      </c>
      <c r="K27" s="12" t="n">
        <v>7</v>
      </c>
      <c r="L27" s="12"/>
      <c r="M27" s="12"/>
      <c r="N27" s="12" t="n">
        <f aca="false">SUM(E27:L27)+N(M27)</f>
        <v>391.6</v>
      </c>
      <c r="O27" s="38" t="n">
        <f aca="false">N27-D27</f>
        <v>0.100000000000023</v>
      </c>
    </row>
    <row r="28" customFormat="false" ht="15" hidden="false" customHeight="false" outlineLevel="0" collapsed="false">
      <c r="A28" s="31" t="n">
        <v>24</v>
      </c>
      <c r="B28" s="31" t="n">
        <v>93</v>
      </c>
      <c r="C28" s="27" t="s">
        <v>189</v>
      </c>
      <c r="D28" s="12" t="n">
        <v>370.7</v>
      </c>
      <c r="E28" s="12" t="n">
        <v>63.6</v>
      </c>
      <c r="F28" s="12" t="n">
        <v>37.4</v>
      </c>
      <c r="G28" s="12" t="n">
        <v>100</v>
      </c>
      <c r="H28" s="12" t="n">
        <v>50.4</v>
      </c>
      <c r="I28" s="12" t="n">
        <v>24.2</v>
      </c>
      <c r="J28" s="12" t="n">
        <v>70.2</v>
      </c>
      <c r="K28" s="12" t="n">
        <v>25</v>
      </c>
      <c r="L28" s="12"/>
      <c r="M28" s="12"/>
      <c r="N28" s="12" t="n">
        <f aca="false">SUM(E28:L28)+N(M28)</f>
        <v>370.8</v>
      </c>
      <c r="O28" s="38" t="n">
        <f aca="false">N28-D28</f>
        <v>0.100000000000023</v>
      </c>
    </row>
    <row r="29" customFormat="false" ht="15" hidden="false" customHeight="false" outlineLevel="0" collapsed="false">
      <c r="A29" s="31" t="n">
        <v>25</v>
      </c>
      <c r="B29" s="31" t="n">
        <v>79</v>
      </c>
      <c r="C29" s="27" t="s">
        <v>190</v>
      </c>
      <c r="D29" s="12" t="n">
        <v>364.8</v>
      </c>
      <c r="E29" s="12" t="n">
        <v>69.5</v>
      </c>
      <c r="F29" s="12" t="n">
        <v>18.8</v>
      </c>
      <c r="G29" s="12" t="n">
        <v>100</v>
      </c>
      <c r="H29" s="12" t="n">
        <v>66.5</v>
      </c>
      <c r="I29" s="12" t="n">
        <v>29.6</v>
      </c>
      <c r="J29" s="12" t="n">
        <v>74.4</v>
      </c>
      <c r="K29" s="12" t="n">
        <v>6</v>
      </c>
      <c r="L29" s="12"/>
      <c r="M29" s="12"/>
      <c r="N29" s="12" t="n">
        <f aca="false">SUM(E29:L29)+N(M29)</f>
        <v>364.8</v>
      </c>
      <c r="O29" s="38" t="n">
        <f aca="false">N29-D29</f>
        <v>0</v>
      </c>
    </row>
    <row r="30" customFormat="false" ht="15" hidden="false" customHeight="false" outlineLevel="0" collapsed="false">
      <c r="A30" s="31" t="n">
        <v>26</v>
      </c>
      <c r="B30" s="31" t="n">
        <v>66</v>
      </c>
      <c r="C30" s="27" t="s">
        <v>191</v>
      </c>
      <c r="D30" s="12" t="n">
        <v>358.5</v>
      </c>
      <c r="E30" s="12" t="n">
        <v>77.1</v>
      </c>
      <c r="F30" s="12" t="n">
        <v>46.3</v>
      </c>
      <c r="G30" s="12" t="n">
        <v>105</v>
      </c>
      <c r="H30" s="12" t="n">
        <v>4.5</v>
      </c>
      <c r="I30" s="12" t="n">
        <v>35.3</v>
      </c>
      <c r="J30" s="12" t="n">
        <v>65.3</v>
      </c>
      <c r="K30" s="12" t="n">
        <v>25</v>
      </c>
      <c r="L30" s="12"/>
      <c r="M30" s="12"/>
      <c r="N30" s="12" t="n">
        <f aca="false">SUM(E30:L30)+N(M30)</f>
        <v>358.5</v>
      </c>
      <c r="O30" s="38" t="n">
        <f aca="false">N30-D30</f>
        <v>0</v>
      </c>
    </row>
    <row r="31" customFormat="false" ht="15" hidden="false" customHeight="false" outlineLevel="0" collapsed="false">
      <c r="A31" s="31" t="n">
        <v>27</v>
      </c>
      <c r="B31" s="31" t="n">
        <v>35</v>
      </c>
      <c r="C31" s="27" t="s">
        <v>192</v>
      </c>
      <c r="D31" s="12" t="n">
        <v>324</v>
      </c>
      <c r="E31" s="12" t="n">
        <v>69.5</v>
      </c>
      <c r="F31" s="12" t="n">
        <v>56.6</v>
      </c>
      <c r="G31" s="12" t="n">
        <v>80</v>
      </c>
      <c r="H31" s="12" t="n">
        <v>24.8</v>
      </c>
      <c r="I31" s="12" t="n">
        <v>31.1</v>
      </c>
      <c r="J31" s="12" t="n">
        <v>37.9</v>
      </c>
      <c r="K31" s="12" t="n">
        <v>24</v>
      </c>
      <c r="L31" s="12"/>
      <c r="M31" s="12"/>
      <c r="N31" s="12" t="n">
        <f aca="false">SUM(E31:L31)+N(M31)</f>
        <v>323.9</v>
      </c>
      <c r="O31" s="38" t="n">
        <f aca="false">N31-D31</f>
        <v>-0.100000000000023</v>
      </c>
    </row>
    <row r="32" customFormat="false" ht="15" hidden="false" customHeight="false" outlineLevel="0" collapsed="false">
      <c r="A32" s="31" t="n">
        <v>28</v>
      </c>
      <c r="B32" s="31" t="n">
        <v>87</v>
      </c>
      <c r="C32" s="27" t="s">
        <v>193</v>
      </c>
      <c r="D32" s="12" t="n">
        <v>304</v>
      </c>
      <c r="E32" s="12" t="n">
        <v>56.7</v>
      </c>
      <c r="F32" s="12" t="n">
        <v>55.3</v>
      </c>
      <c r="G32" s="12" t="n">
        <v>120</v>
      </c>
      <c r="H32" s="12"/>
      <c r="I32" s="12" t="n">
        <v>23.6</v>
      </c>
      <c r="J32" s="12" t="n">
        <v>42.5</v>
      </c>
      <c r="K32" s="12" t="n">
        <v>6</v>
      </c>
      <c r="L32" s="12"/>
      <c r="M32" s="12"/>
      <c r="N32" s="12" t="n">
        <f aca="false">SUM(E32:L32)+N(M32)</f>
        <v>304.1</v>
      </c>
      <c r="O32" s="38" t="n">
        <f aca="false">N32-D32</f>
        <v>0.100000000000023</v>
      </c>
    </row>
    <row r="33" customFormat="false" ht="15" hidden="false" customHeight="false" outlineLevel="0" collapsed="false">
      <c r="A33" s="31" t="n">
        <v>29</v>
      </c>
      <c r="B33" s="31" t="n">
        <v>108</v>
      </c>
      <c r="C33" s="27" t="s">
        <v>194</v>
      </c>
      <c r="D33" s="12" t="n">
        <v>288.4</v>
      </c>
      <c r="E33" s="12" t="n">
        <v>74.1</v>
      </c>
      <c r="F33" s="12" t="n">
        <v>58.6</v>
      </c>
      <c r="G33" s="12" t="n">
        <v>70</v>
      </c>
      <c r="H33" s="12" t="n">
        <v>50.7</v>
      </c>
      <c r="I33" s="12" t="n">
        <v>3.5</v>
      </c>
      <c r="J33" s="12" t="n">
        <v>6.5</v>
      </c>
      <c r="K33" s="12" t="n">
        <v>25</v>
      </c>
      <c r="L33" s="12"/>
      <c r="M33" s="12"/>
      <c r="N33" s="12" t="n">
        <f aca="false">SUM(E33:L33)+N(M33)</f>
        <v>288.4</v>
      </c>
      <c r="O33" s="38" t="n">
        <f aca="false">N33-D33</f>
        <v>0</v>
      </c>
    </row>
    <row r="34" customFormat="false" ht="15" hidden="false" customHeight="false" outlineLevel="0" collapsed="false">
      <c r="A34" s="31" t="n">
        <v>30</v>
      </c>
      <c r="B34" s="31" t="n">
        <v>104</v>
      </c>
      <c r="C34" s="27" t="s">
        <v>195</v>
      </c>
      <c r="D34" s="12" t="n">
        <v>281.9</v>
      </c>
      <c r="E34" s="12" t="n">
        <v>72</v>
      </c>
      <c r="F34" s="12" t="n">
        <v>33.5</v>
      </c>
      <c r="G34" s="12" t="n">
        <v>55</v>
      </c>
      <c r="H34" s="12" t="n">
        <v>39.5</v>
      </c>
      <c r="I34" s="12" t="n">
        <v>5.4</v>
      </c>
      <c r="J34" s="12" t="n">
        <v>51.5</v>
      </c>
      <c r="K34" s="12" t="n">
        <v>25</v>
      </c>
      <c r="L34" s="12"/>
      <c r="M34" s="12"/>
      <c r="N34" s="12" t="n">
        <f aca="false">SUM(E34:L34)+N(M34)</f>
        <v>281.9</v>
      </c>
      <c r="O34" s="38" t="n">
        <f aca="false">N34-D34</f>
        <v>0</v>
      </c>
    </row>
    <row r="35" customFormat="false" ht="15" hidden="false" customHeight="false" outlineLevel="0" collapsed="false">
      <c r="A35" s="31" t="n">
        <v>31</v>
      </c>
      <c r="B35" s="31" t="n">
        <v>3</v>
      </c>
      <c r="C35" s="27" t="s">
        <v>150</v>
      </c>
      <c r="D35" s="12" t="n">
        <v>274.5</v>
      </c>
      <c r="E35" s="12" t="n">
        <v>94.8</v>
      </c>
      <c r="F35" s="12" t="n">
        <v>59.7</v>
      </c>
      <c r="G35" s="12" t="n">
        <v>120</v>
      </c>
      <c r="H35" s="12"/>
      <c r="I35" s="12"/>
      <c r="J35" s="12"/>
      <c r="K35" s="12"/>
      <c r="L35" s="12"/>
      <c r="M35" s="12"/>
      <c r="N35" s="12" t="n">
        <f aca="false">SUM(E35:L35)+N(M35)</f>
        <v>274.5</v>
      </c>
      <c r="O35" s="38" t="n">
        <f aca="false">N35-D35</f>
        <v>0</v>
      </c>
    </row>
    <row r="36" customFormat="false" ht="15" hidden="false" customHeight="false" outlineLevel="0" collapsed="false">
      <c r="A36" s="31" t="n">
        <v>32</v>
      </c>
      <c r="B36" s="31" t="n">
        <v>56</v>
      </c>
      <c r="C36" s="27" t="s">
        <v>196</v>
      </c>
      <c r="D36" s="12" t="n">
        <v>274.2</v>
      </c>
      <c r="E36" s="12" t="n">
        <v>79.4</v>
      </c>
      <c r="F36" s="12" t="n">
        <v>45.5</v>
      </c>
      <c r="G36" s="12" t="n">
        <v>50</v>
      </c>
      <c r="H36" s="12" t="n">
        <v>25.4</v>
      </c>
      <c r="I36" s="12" t="n">
        <v>20.2</v>
      </c>
      <c r="J36" s="12" t="n">
        <v>36.7</v>
      </c>
      <c r="K36" s="12" t="n">
        <v>17</v>
      </c>
      <c r="L36" s="12"/>
      <c r="M36" s="12"/>
      <c r="N36" s="12" t="n">
        <f aca="false">SUM(E36:L36)+N(M36)</f>
        <v>274.2</v>
      </c>
      <c r="O36" s="38" t="n">
        <f aca="false">N36-D36</f>
        <v>0</v>
      </c>
    </row>
    <row r="37" customFormat="false" ht="15" hidden="false" customHeight="false" outlineLevel="0" collapsed="false">
      <c r="A37" s="31" t="n">
        <v>33</v>
      </c>
      <c r="B37" s="31" t="n">
        <v>4</v>
      </c>
      <c r="C37" s="27" t="s">
        <v>33</v>
      </c>
      <c r="D37" s="12" t="n">
        <v>273.1</v>
      </c>
      <c r="E37" s="12" t="n">
        <v>80.7</v>
      </c>
      <c r="F37" s="12" t="n">
        <v>57.4</v>
      </c>
      <c r="G37" s="12" t="n">
        <v>135</v>
      </c>
      <c r="H37" s="12"/>
      <c r="I37" s="12"/>
      <c r="J37" s="12"/>
      <c r="K37" s="12"/>
      <c r="L37" s="12"/>
      <c r="M37" s="12"/>
      <c r="N37" s="12" t="n">
        <f aca="false">SUM(E37:L37)+N(M37)</f>
        <v>273.1</v>
      </c>
      <c r="O37" s="38" t="n">
        <f aca="false">N37-D37</f>
        <v>0</v>
      </c>
    </row>
    <row r="38" customFormat="false" ht="15" hidden="false" customHeight="false" outlineLevel="0" collapsed="false">
      <c r="A38" s="31" t="n">
        <v>34</v>
      </c>
      <c r="B38" s="31" t="n">
        <v>113</v>
      </c>
      <c r="C38" s="27" t="s">
        <v>157</v>
      </c>
      <c r="D38" s="12" t="n">
        <v>258.2</v>
      </c>
      <c r="E38" s="12" t="n">
        <v>91.5</v>
      </c>
      <c r="F38" s="12" t="n">
        <v>19.4</v>
      </c>
      <c r="G38" s="12" t="n">
        <v>85</v>
      </c>
      <c r="H38" s="12" t="n">
        <v>0</v>
      </c>
      <c r="I38" s="12" t="n">
        <v>37.4</v>
      </c>
      <c r="J38" s="12" t="n">
        <v>0</v>
      </c>
      <c r="K38" s="12" t="n">
        <v>25</v>
      </c>
      <c r="L38" s="12"/>
      <c r="M38" s="12"/>
      <c r="N38" s="12" t="n">
        <f aca="false">SUM(E38:L38)+N(M38)</f>
        <v>258.3</v>
      </c>
      <c r="O38" s="38" t="n">
        <f aca="false">N38-D38</f>
        <v>0.100000000000023</v>
      </c>
    </row>
    <row r="39" customFormat="false" ht="15" hidden="false" customHeight="false" outlineLevel="0" collapsed="false">
      <c r="A39" s="31" t="n">
        <v>35</v>
      </c>
      <c r="B39" s="31" t="n">
        <v>97</v>
      </c>
      <c r="C39" s="27" t="s">
        <v>159</v>
      </c>
      <c r="D39" s="12" t="n">
        <v>251</v>
      </c>
      <c r="E39" s="12" t="n">
        <v>89.9</v>
      </c>
      <c r="F39" s="12" t="n">
        <v>56.1</v>
      </c>
      <c r="G39" s="12" t="n">
        <v>105</v>
      </c>
      <c r="H39" s="12"/>
      <c r="I39" s="12"/>
      <c r="J39" s="12"/>
      <c r="K39" s="12"/>
      <c r="L39" s="12"/>
      <c r="M39" s="12"/>
      <c r="N39" s="12" t="n">
        <f aca="false">SUM(E39:L39)+N(M39)</f>
        <v>251</v>
      </c>
      <c r="O39" s="38" t="n">
        <f aca="false">N39-D39</f>
        <v>0</v>
      </c>
    </row>
    <row r="40" customFormat="false" ht="15" hidden="false" customHeight="false" outlineLevel="0" collapsed="false">
      <c r="A40" s="31" t="n">
        <v>36</v>
      </c>
      <c r="B40" s="31" t="n">
        <v>92</v>
      </c>
      <c r="C40" s="27" t="s">
        <v>161</v>
      </c>
      <c r="D40" s="12" t="n">
        <v>246.1</v>
      </c>
      <c r="E40" s="12" t="n">
        <v>85.2</v>
      </c>
      <c r="F40" s="12" t="n">
        <v>16.9</v>
      </c>
      <c r="G40" s="12" t="n">
        <v>144</v>
      </c>
      <c r="H40" s="12"/>
      <c r="I40" s="12"/>
      <c r="J40" s="12"/>
      <c r="K40" s="12"/>
      <c r="L40" s="12"/>
      <c r="M40" s="12"/>
      <c r="N40" s="12" t="n">
        <f aca="false">SUM(E40:L40)+N(M40)</f>
        <v>246.1</v>
      </c>
      <c r="O40" s="38" t="n">
        <f aca="false">N40-D40</f>
        <v>0</v>
      </c>
    </row>
    <row r="41" customFormat="false" ht="15" hidden="false" customHeight="false" outlineLevel="0" collapsed="false">
      <c r="A41" s="31" t="n">
        <v>37</v>
      </c>
      <c r="B41" s="31" t="n">
        <v>51</v>
      </c>
      <c r="C41" s="27" t="s">
        <v>197</v>
      </c>
      <c r="D41" s="12" t="n">
        <v>244.7</v>
      </c>
      <c r="E41" s="12" t="n">
        <v>51.2</v>
      </c>
      <c r="F41" s="12" t="n">
        <v>18.8</v>
      </c>
      <c r="G41" s="12" t="n">
        <v>70</v>
      </c>
      <c r="H41" s="12" t="n">
        <v>4.5</v>
      </c>
      <c r="I41" s="12" t="n">
        <v>39.6</v>
      </c>
      <c r="J41" s="12" t="n">
        <v>60.7</v>
      </c>
      <c r="K41" s="12"/>
      <c r="L41" s="12"/>
      <c r="M41" s="12"/>
      <c r="N41" s="12" t="n">
        <f aca="false">SUM(E41:L41)+N(M41)</f>
        <v>244.8</v>
      </c>
      <c r="O41" s="38" t="n">
        <f aca="false">N41-D41</f>
        <v>0.100000000000023</v>
      </c>
    </row>
    <row r="42" customFormat="false" ht="15" hidden="false" customHeight="false" outlineLevel="0" collapsed="false">
      <c r="A42" s="31" t="n">
        <v>38</v>
      </c>
      <c r="B42" s="31" t="n">
        <v>17</v>
      </c>
      <c r="C42" s="27" t="s">
        <v>169</v>
      </c>
      <c r="D42" s="12" t="n">
        <v>238.8</v>
      </c>
      <c r="E42" s="12" t="n">
        <v>81.7</v>
      </c>
      <c r="F42" s="12" t="n">
        <v>57.1</v>
      </c>
      <c r="G42" s="12" t="n">
        <v>100</v>
      </c>
      <c r="H42" s="12"/>
      <c r="I42" s="12"/>
      <c r="J42" s="12"/>
      <c r="K42" s="12"/>
      <c r="L42" s="12"/>
      <c r="M42" s="12"/>
      <c r="N42" s="12" t="n">
        <f aca="false">SUM(E42:L42)+N(M42)</f>
        <v>238.8</v>
      </c>
      <c r="O42" s="38" t="n">
        <f aca="false">N42-D42</f>
        <v>0</v>
      </c>
    </row>
    <row r="43" customFormat="false" ht="15" hidden="false" customHeight="false" outlineLevel="0" collapsed="false">
      <c r="A43" s="31" t="n">
        <v>39</v>
      </c>
      <c r="B43" s="31" t="n">
        <v>7</v>
      </c>
      <c r="C43" s="27" t="s">
        <v>162</v>
      </c>
      <c r="D43" s="12" t="n">
        <v>235</v>
      </c>
      <c r="E43" s="12" t="n">
        <v>70</v>
      </c>
      <c r="F43" s="12" t="n">
        <v>60</v>
      </c>
      <c r="G43" s="12" t="n">
        <v>105</v>
      </c>
      <c r="H43" s="12"/>
      <c r="I43" s="12"/>
      <c r="J43" s="12"/>
      <c r="K43" s="12"/>
      <c r="L43" s="12"/>
      <c r="M43" s="12"/>
      <c r="N43" s="12" t="n">
        <f aca="false">SUM(E43:L43)+N(M43)</f>
        <v>235</v>
      </c>
      <c r="O43" s="38" t="n">
        <f aca="false">N43-D43</f>
        <v>0</v>
      </c>
    </row>
    <row r="44" customFormat="false" ht="15" hidden="false" customHeight="false" outlineLevel="0" collapsed="false">
      <c r="A44" s="31" t="n">
        <v>40</v>
      </c>
      <c r="B44" s="31" t="n">
        <v>89</v>
      </c>
      <c r="C44" s="27" t="s">
        <v>198</v>
      </c>
      <c r="D44" s="12" t="n">
        <v>235</v>
      </c>
      <c r="E44" s="12" t="n">
        <v>64</v>
      </c>
      <c r="F44" s="12" t="n">
        <v>56</v>
      </c>
      <c r="G44" s="12" t="n">
        <v>115</v>
      </c>
      <c r="H44" s="12"/>
      <c r="I44" s="12"/>
      <c r="J44" s="12"/>
      <c r="K44" s="12"/>
      <c r="L44" s="12"/>
      <c r="M44" s="12"/>
      <c r="N44" s="12" t="n">
        <f aca="false">SUM(E44:L44)+N(M44)</f>
        <v>235</v>
      </c>
      <c r="O44" s="38" t="n">
        <f aca="false">N44-D44</f>
        <v>0</v>
      </c>
    </row>
    <row r="45" customFormat="false" ht="15" hidden="false" customHeight="false" outlineLevel="0" collapsed="false">
      <c r="A45" s="31" t="n">
        <v>41</v>
      </c>
      <c r="B45" s="31" t="n">
        <v>29</v>
      </c>
      <c r="C45" s="27" t="s">
        <v>199</v>
      </c>
      <c r="D45" s="12" t="n">
        <v>232.9</v>
      </c>
      <c r="E45" s="12" t="n">
        <v>64.7</v>
      </c>
      <c r="F45" s="12" t="n">
        <v>69.2</v>
      </c>
      <c r="G45" s="12" t="n">
        <v>75</v>
      </c>
      <c r="H45" s="12" t="n">
        <v>4.5</v>
      </c>
      <c r="I45" s="12" t="n">
        <v>3.5</v>
      </c>
      <c r="J45" s="12"/>
      <c r="K45" s="12" t="n">
        <v>16</v>
      </c>
      <c r="L45" s="12"/>
      <c r="M45" s="12"/>
      <c r="N45" s="12" t="n">
        <f aca="false">SUM(E45:L45)+N(M45)</f>
        <v>232.9</v>
      </c>
      <c r="O45" s="38" t="n">
        <f aca="false">N45-D45</f>
        <v>0</v>
      </c>
    </row>
    <row r="46" customFormat="false" ht="15" hidden="false" customHeight="false" outlineLevel="0" collapsed="false">
      <c r="A46" s="31" t="n">
        <v>42</v>
      </c>
      <c r="B46" s="31" t="n">
        <v>110</v>
      </c>
      <c r="C46" s="27" t="s">
        <v>200</v>
      </c>
      <c r="D46" s="12" t="n">
        <v>228.1</v>
      </c>
      <c r="E46" s="12" t="n">
        <v>83</v>
      </c>
      <c r="F46" s="12" t="n">
        <v>16.5</v>
      </c>
      <c r="G46" s="12" t="n">
        <v>45</v>
      </c>
      <c r="H46" s="12" t="n">
        <v>4.5</v>
      </c>
      <c r="I46" s="12" t="n">
        <v>16.6</v>
      </c>
      <c r="J46" s="12" t="n">
        <v>61.5</v>
      </c>
      <c r="K46" s="12" t="n">
        <v>1</v>
      </c>
      <c r="L46" s="12"/>
      <c r="M46" s="12"/>
      <c r="N46" s="12" t="n">
        <f aca="false">SUM(E46:L46)+N(M46)</f>
        <v>228.1</v>
      </c>
      <c r="O46" s="38" t="n">
        <f aca="false">N46-D46</f>
        <v>0</v>
      </c>
    </row>
    <row r="47" customFormat="false" ht="15" hidden="false" customHeight="false" outlineLevel="0" collapsed="false">
      <c r="A47" s="31" t="n">
        <v>43</v>
      </c>
      <c r="B47" s="31" t="n">
        <v>115</v>
      </c>
      <c r="C47" s="27" t="s">
        <v>201</v>
      </c>
      <c r="D47" s="12" t="n">
        <v>227.7</v>
      </c>
      <c r="E47" s="12" t="n">
        <v>72.6</v>
      </c>
      <c r="F47" s="12" t="n">
        <v>65.1</v>
      </c>
      <c r="G47" s="12" t="n">
        <v>90</v>
      </c>
      <c r="H47" s="12"/>
      <c r="I47" s="12"/>
      <c r="J47" s="12"/>
      <c r="K47" s="12"/>
      <c r="L47" s="12"/>
      <c r="M47" s="12"/>
      <c r="N47" s="12" t="n">
        <f aca="false">SUM(E47:L47)+N(M47)</f>
        <v>227.7</v>
      </c>
      <c r="O47" s="38" t="n">
        <f aca="false">N47-D47</f>
        <v>0</v>
      </c>
    </row>
    <row r="48" customFormat="false" ht="15" hidden="false" customHeight="false" outlineLevel="0" collapsed="false">
      <c r="A48" s="31" t="n">
        <v>44</v>
      </c>
      <c r="B48" s="31" t="n">
        <v>100</v>
      </c>
      <c r="C48" s="27" t="s">
        <v>202</v>
      </c>
      <c r="D48" s="12" t="n">
        <v>223.2</v>
      </c>
      <c r="E48" s="12" t="n">
        <v>73.1</v>
      </c>
      <c r="F48" s="12" t="n">
        <v>70.1</v>
      </c>
      <c r="G48" s="12" t="n">
        <v>80</v>
      </c>
      <c r="H48" s="12"/>
      <c r="I48" s="12"/>
      <c r="J48" s="12"/>
      <c r="K48" s="12"/>
      <c r="L48" s="12"/>
      <c r="M48" s="12"/>
      <c r="N48" s="12" t="n">
        <f aca="false">SUM(E48:L48)+N(M48)</f>
        <v>223.2</v>
      </c>
      <c r="O48" s="38" t="n">
        <f aca="false">N48-D48</f>
        <v>0</v>
      </c>
    </row>
    <row r="49" customFormat="false" ht="15" hidden="false" customHeight="false" outlineLevel="0" collapsed="false">
      <c r="A49" s="31" t="n">
        <v>45</v>
      </c>
      <c r="B49" s="31" t="n">
        <v>74</v>
      </c>
      <c r="C49" s="27" t="s">
        <v>203</v>
      </c>
      <c r="D49" s="12" t="n">
        <v>220.5</v>
      </c>
      <c r="E49" s="12" t="n">
        <v>72.4</v>
      </c>
      <c r="F49" s="12" t="n">
        <v>43.1</v>
      </c>
      <c r="G49" s="12" t="n">
        <v>105</v>
      </c>
      <c r="H49" s="12"/>
      <c r="I49" s="12"/>
      <c r="J49" s="12"/>
      <c r="K49" s="12"/>
      <c r="L49" s="12"/>
      <c r="M49" s="12"/>
      <c r="N49" s="12" t="n">
        <f aca="false">SUM(E49:L49)+N(M49)</f>
        <v>220.5</v>
      </c>
      <c r="O49" s="38" t="n">
        <f aca="false">N49-D49</f>
        <v>0</v>
      </c>
    </row>
    <row r="50" customFormat="false" ht="15" hidden="false" customHeight="false" outlineLevel="0" collapsed="false">
      <c r="A50" s="31" t="n">
        <v>46</v>
      </c>
      <c r="B50" s="31" t="n">
        <v>109</v>
      </c>
      <c r="C50" s="27" t="s">
        <v>204</v>
      </c>
      <c r="D50" s="12" t="n">
        <v>219.7</v>
      </c>
      <c r="E50" s="12" t="n">
        <v>52.2</v>
      </c>
      <c r="F50" s="12" t="n">
        <v>14.5</v>
      </c>
      <c r="G50" s="12" t="n">
        <v>45</v>
      </c>
      <c r="H50" s="12" t="n">
        <v>45.4</v>
      </c>
      <c r="I50" s="12" t="n">
        <v>37.7</v>
      </c>
      <c r="J50" s="12" t="n">
        <v>0</v>
      </c>
      <c r="K50" s="12" t="n">
        <v>25</v>
      </c>
      <c r="L50" s="12"/>
      <c r="M50" s="12"/>
      <c r="N50" s="12" t="n">
        <f aca="false">SUM(E50:L50)+N(M50)</f>
        <v>219.8</v>
      </c>
      <c r="O50" s="38" t="n">
        <f aca="false">N50-D50</f>
        <v>0.100000000000023</v>
      </c>
    </row>
    <row r="51" customFormat="false" ht="15" hidden="false" customHeight="false" outlineLevel="0" collapsed="false">
      <c r="A51" s="31" t="n">
        <v>47</v>
      </c>
      <c r="B51" s="31" t="n">
        <v>32</v>
      </c>
      <c r="C51" s="27" t="s">
        <v>205</v>
      </c>
      <c r="D51" s="12" t="n">
        <v>218.8</v>
      </c>
      <c r="E51" s="12" t="n">
        <v>90.4</v>
      </c>
      <c r="F51" s="12" t="n">
        <v>33.5</v>
      </c>
      <c r="G51" s="12" t="n">
        <v>95</v>
      </c>
      <c r="H51" s="12"/>
      <c r="I51" s="12"/>
      <c r="J51" s="12"/>
      <c r="K51" s="12"/>
      <c r="L51" s="12"/>
      <c r="M51" s="12"/>
      <c r="N51" s="12" t="n">
        <f aca="false">SUM(E51:L51)+N(M51)</f>
        <v>218.9</v>
      </c>
      <c r="O51" s="38" t="n">
        <f aca="false">N51-D51</f>
        <v>0.0999999999999943</v>
      </c>
    </row>
    <row r="52" customFormat="false" ht="15" hidden="false" customHeight="false" outlineLevel="0" collapsed="false">
      <c r="A52" s="31" t="n">
        <v>48</v>
      </c>
      <c r="B52" s="31" t="n">
        <v>96</v>
      </c>
      <c r="C52" s="27" t="s">
        <v>206</v>
      </c>
      <c r="D52" s="12" t="n">
        <v>217</v>
      </c>
      <c r="E52" s="12" t="n">
        <v>67.7</v>
      </c>
      <c r="F52" s="12" t="n">
        <v>49.3</v>
      </c>
      <c r="G52" s="12" t="n">
        <v>100</v>
      </c>
      <c r="H52" s="12"/>
      <c r="I52" s="12"/>
      <c r="J52" s="12"/>
      <c r="K52" s="12"/>
      <c r="L52" s="12"/>
      <c r="M52" s="12"/>
      <c r="N52" s="12" t="n">
        <f aca="false">SUM(E52:L52)+N(M52)</f>
        <v>217</v>
      </c>
      <c r="O52" s="38" t="n">
        <f aca="false">N52-D52</f>
        <v>0</v>
      </c>
    </row>
    <row r="53" customFormat="false" ht="15" hidden="false" customHeight="false" outlineLevel="0" collapsed="false">
      <c r="A53" s="31" t="n">
        <v>49</v>
      </c>
      <c r="B53" s="31" t="n">
        <v>68</v>
      </c>
      <c r="C53" s="27" t="s">
        <v>207</v>
      </c>
      <c r="D53" s="12" t="n">
        <v>214.8</v>
      </c>
      <c r="E53" s="12" t="n">
        <v>56.1</v>
      </c>
      <c r="F53" s="12" t="n">
        <v>19.3</v>
      </c>
      <c r="G53" s="12" t="n">
        <v>85</v>
      </c>
      <c r="H53" s="12" t="n">
        <v>4.5</v>
      </c>
      <c r="I53" s="12" t="n">
        <v>3.5</v>
      </c>
      <c r="J53" s="12" t="n">
        <v>46.3</v>
      </c>
      <c r="K53" s="12"/>
      <c r="L53" s="12"/>
      <c r="M53" s="12"/>
      <c r="N53" s="12" t="n">
        <f aca="false">SUM(E53:L53)+N(M53)</f>
        <v>214.7</v>
      </c>
      <c r="O53" s="38" t="n">
        <f aca="false">N53-D53</f>
        <v>-0.100000000000023</v>
      </c>
    </row>
    <row r="54" customFormat="false" ht="15" hidden="false" customHeight="false" outlineLevel="0" collapsed="false">
      <c r="A54" s="31" t="n">
        <v>50</v>
      </c>
      <c r="B54" s="31" t="n">
        <v>57</v>
      </c>
      <c r="C54" s="27" t="s">
        <v>208</v>
      </c>
      <c r="D54" s="12" t="n">
        <v>212.9</v>
      </c>
      <c r="E54" s="12" t="n">
        <v>90.5</v>
      </c>
      <c r="F54" s="12" t="n">
        <v>42.4</v>
      </c>
      <c r="G54" s="12" t="n">
        <v>80</v>
      </c>
      <c r="H54" s="12"/>
      <c r="I54" s="12"/>
      <c r="J54" s="12"/>
      <c r="K54" s="12"/>
      <c r="L54" s="12"/>
      <c r="M54" s="12"/>
      <c r="N54" s="12" t="n">
        <f aca="false">SUM(E54:L54)+N(M54)</f>
        <v>212.9</v>
      </c>
      <c r="O54" s="38" t="n">
        <f aca="false">N54-D54</f>
        <v>0</v>
      </c>
    </row>
    <row r="55" customFormat="false" ht="15" hidden="false" customHeight="false" outlineLevel="0" collapsed="false">
      <c r="A55" s="31" t="n">
        <v>51</v>
      </c>
      <c r="B55" s="31" t="n">
        <v>25</v>
      </c>
      <c r="C55" s="27" t="s">
        <v>154</v>
      </c>
      <c r="D55" s="12" t="n">
        <v>211.1</v>
      </c>
      <c r="E55" s="12" t="n">
        <v>60.4</v>
      </c>
      <c r="F55" s="12" t="n">
        <v>50.7</v>
      </c>
      <c r="G55" s="12" t="n">
        <v>100</v>
      </c>
      <c r="H55" s="12"/>
      <c r="I55" s="12"/>
      <c r="J55" s="12"/>
      <c r="K55" s="12"/>
      <c r="L55" s="12"/>
      <c r="M55" s="12"/>
      <c r="N55" s="12" t="n">
        <f aca="false">SUM(E55:L55)+N(M55)</f>
        <v>211.1</v>
      </c>
      <c r="O55" s="38" t="n">
        <f aca="false">N55-D55</f>
        <v>0</v>
      </c>
    </row>
    <row r="56" customFormat="false" ht="15" hidden="false" customHeight="false" outlineLevel="0" collapsed="false">
      <c r="A56" s="31" t="n">
        <v>52</v>
      </c>
      <c r="B56" s="31" t="n">
        <v>23</v>
      </c>
      <c r="C56" s="27" t="s">
        <v>160</v>
      </c>
      <c r="D56" s="12" t="n">
        <v>199.6</v>
      </c>
      <c r="E56" s="12" t="n">
        <v>71.9</v>
      </c>
      <c r="F56" s="12" t="n">
        <v>47.8</v>
      </c>
      <c r="G56" s="12" t="n">
        <v>80</v>
      </c>
      <c r="H56" s="12"/>
      <c r="I56" s="12"/>
      <c r="J56" s="12"/>
      <c r="K56" s="12"/>
      <c r="L56" s="12"/>
      <c r="M56" s="12"/>
      <c r="N56" s="12" t="n">
        <f aca="false">SUM(E56:L56)+N(M56)</f>
        <v>199.7</v>
      </c>
      <c r="O56" s="38" t="n">
        <f aca="false">N56-D56</f>
        <v>0.0999999999999943</v>
      </c>
    </row>
    <row r="57" customFormat="false" ht="15" hidden="false" customHeight="false" outlineLevel="0" collapsed="false">
      <c r="A57" s="31" t="n">
        <v>53</v>
      </c>
      <c r="B57" s="31" t="n">
        <v>10</v>
      </c>
      <c r="C57" s="27" t="s">
        <v>170</v>
      </c>
      <c r="D57" s="12" t="n">
        <v>192.3</v>
      </c>
      <c r="E57" s="12" t="n">
        <v>65.1</v>
      </c>
      <c r="F57" s="12" t="n">
        <v>17.2</v>
      </c>
      <c r="G57" s="12" t="n">
        <v>110</v>
      </c>
      <c r="H57" s="12"/>
      <c r="I57" s="12"/>
      <c r="J57" s="12"/>
      <c r="K57" s="12"/>
      <c r="L57" s="12"/>
      <c r="M57" s="12"/>
      <c r="N57" s="12" t="n">
        <f aca="false">SUM(E57:L57)+N(M57)</f>
        <v>192.3</v>
      </c>
      <c r="O57" s="38" t="n">
        <f aca="false">N57-D57</f>
        <v>0</v>
      </c>
    </row>
    <row r="58" customFormat="false" ht="15" hidden="false" customHeight="false" outlineLevel="0" collapsed="false">
      <c r="A58" s="31" t="n">
        <v>54</v>
      </c>
      <c r="B58" s="31" t="n">
        <v>24</v>
      </c>
      <c r="C58" s="27" t="s">
        <v>209</v>
      </c>
      <c r="D58" s="12" t="n">
        <v>190.9</v>
      </c>
      <c r="E58" s="12" t="n">
        <v>42.1</v>
      </c>
      <c r="F58" s="12" t="n">
        <v>32.8</v>
      </c>
      <c r="G58" s="12" t="n">
        <v>65</v>
      </c>
      <c r="H58" s="12"/>
      <c r="I58" s="12"/>
      <c r="J58" s="12"/>
      <c r="K58" s="12" t="n">
        <v>14</v>
      </c>
      <c r="L58" s="12" t="n">
        <v>37</v>
      </c>
      <c r="M58" s="12"/>
      <c r="N58" s="12" t="n">
        <f aca="false">SUM(E58:L58)+N(M58)</f>
        <v>190.9</v>
      </c>
      <c r="O58" s="38" t="n">
        <f aca="false">N58-D58</f>
        <v>0</v>
      </c>
    </row>
    <row r="59" customFormat="false" ht="15" hidden="false" customHeight="false" outlineLevel="0" collapsed="false">
      <c r="A59" s="31" t="n">
        <v>55</v>
      </c>
      <c r="B59" s="31" t="n">
        <v>102</v>
      </c>
      <c r="C59" s="27" t="s">
        <v>210</v>
      </c>
      <c r="D59" s="12" t="n">
        <v>188.8</v>
      </c>
      <c r="E59" s="12" t="n">
        <v>77.7</v>
      </c>
      <c r="F59" s="12" t="n">
        <v>31.1</v>
      </c>
      <c r="G59" s="12" t="n">
        <v>80</v>
      </c>
      <c r="H59" s="12"/>
      <c r="I59" s="12"/>
      <c r="J59" s="12"/>
      <c r="K59" s="12"/>
      <c r="L59" s="12"/>
      <c r="M59" s="12"/>
      <c r="N59" s="12" t="n">
        <f aca="false">SUM(E59:L59)+N(M59)</f>
        <v>188.8</v>
      </c>
      <c r="O59" s="38" t="n">
        <f aca="false">N59-D59</f>
        <v>0</v>
      </c>
    </row>
    <row r="60" customFormat="false" ht="15" hidden="false" customHeight="false" outlineLevel="0" collapsed="false">
      <c r="A60" s="31" t="n">
        <v>56</v>
      </c>
      <c r="B60" s="31" t="n">
        <v>101</v>
      </c>
      <c r="C60" s="27" t="s">
        <v>211</v>
      </c>
      <c r="D60" s="12" t="n">
        <v>186.9</v>
      </c>
      <c r="E60" s="12" t="n">
        <v>80</v>
      </c>
      <c r="F60" s="12" t="n">
        <v>17</v>
      </c>
      <c r="G60" s="12" t="n">
        <v>90</v>
      </c>
      <c r="H60" s="12"/>
      <c r="I60" s="12"/>
      <c r="J60" s="12"/>
      <c r="K60" s="12"/>
      <c r="L60" s="12"/>
      <c r="M60" s="12"/>
      <c r="N60" s="12" t="n">
        <f aca="false">SUM(E60:L60)+N(M60)</f>
        <v>187</v>
      </c>
      <c r="O60" s="38" t="n">
        <f aca="false">N60-D60</f>
        <v>0.0999999999999943</v>
      </c>
    </row>
    <row r="61" customFormat="false" ht="15" hidden="false" customHeight="false" outlineLevel="0" collapsed="false">
      <c r="A61" s="31" t="n">
        <v>57</v>
      </c>
      <c r="B61" s="31" t="n">
        <v>33</v>
      </c>
      <c r="C61" s="27" t="s">
        <v>212</v>
      </c>
      <c r="D61" s="12" t="n">
        <v>186.2</v>
      </c>
      <c r="E61" s="12" t="n">
        <v>72</v>
      </c>
      <c r="F61" s="12" t="n">
        <v>29.2</v>
      </c>
      <c r="G61" s="12" t="n">
        <v>85</v>
      </c>
      <c r="H61" s="12"/>
      <c r="I61" s="12"/>
      <c r="J61" s="12"/>
      <c r="K61" s="12"/>
      <c r="L61" s="12"/>
      <c r="M61" s="12"/>
      <c r="N61" s="12" t="n">
        <f aca="false">SUM(E61:L61)+N(M61)</f>
        <v>186.2</v>
      </c>
      <c r="O61" s="38" t="n">
        <f aca="false">N61-D61</f>
        <v>0</v>
      </c>
    </row>
    <row r="62" customFormat="false" ht="15" hidden="false" customHeight="false" outlineLevel="0" collapsed="false">
      <c r="A62" s="31" t="n">
        <v>58</v>
      </c>
      <c r="B62" s="31" t="n">
        <v>73</v>
      </c>
      <c r="C62" s="27" t="s">
        <v>213</v>
      </c>
      <c r="D62" s="12" t="n">
        <v>181.2</v>
      </c>
      <c r="E62" s="12" t="n">
        <v>78.3</v>
      </c>
      <c r="F62" s="12" t="n">
        <v>19.4</v>
      </c>
      <c r="G62" s="12" t="n">
        <v>55</v>
      </c>
      <c r="H62" s="12" t="n">
        <v>4.5</v>
      </c>
      <c r="I62" s="12" t="n">
        <v>3.5</v>
      </c>
      <c r="J62" s="12" t="n">
        <v>6.5</v>
      </c>
      <c r="K62" s="12" t="n">
        <v>14</v>
      </c>
      <c r="L62" s="12"/>
      <c r="M62" s="12"/>
      <c r="N62" s="12" t="n">
        <f aca="false">SUM(E62:L62)+N(M62)</f>
        <v>181.2</v>
      </c>
      <c r="O62" s="38" t="n">
        <f aca="false">N62-D62</f>
        <v>0</v>
      </c>
    </row>
    <row r="63" customFormat="false" ht="15" hidden="false" customHeight="false" outlineLevel="0" collapsed="false">
      <c r="A63" s="31" t="n">
        <v>59</v>
      </c>
      <c r="B63" s="31" t="n">
        <v>42</v>
      </c>
      <c r="C63" s="27" t="s">
        <v>214</v>
      </c>
      <c r="D63" s="12" t="n">
        <v>178.1</v>
      </c>
      <c r="E63" s="12" t="n">
        <v>57.8</v>
      </c>
      <c r="F63" s="12" t="n">
        <v>30.3</v>
      </c>
      <c r="G63" s="12" t="n">
        <v>90</v>
      </c>
      <c r="H63" s="12"/>
      <c r="I63" s="12"/>
      <c r="J63" s="12"/>
      <c r="K63" s="12"/>
      <c r="L63" s="12"/>
      <c r="M63" s="12"/>
      <c r="N63" s="12" t="n">
        <f aca="false">SUM(E63:L63)+N(M63)</f>
        <v>178.1</v>
      </c>
      <c r="O63" s="38" t="n">
        <f aca="false">N63-D63</f>
        <v>0</v>
      </c>
    </row>
    <row r="64" customFormat="false" ht="15" hidden="false" customHeight="false" outlineLevel="0" collapsed="false">
      <c r="A64" s="31" t="n">
        <v>60</v>
      </c>
      <c r="B64" s="31" t="n">
        <v>61</v>
      </c>
      <c r="C64" s="27" t="s">
        <v>215</v>
      </c>
      <c r="D64" s="12" t="n">
        <v>174.5</v>
      </c>
      <c r="E64" s="12" t="n">
        <v>83.3</v>
      </c>
      <c r="F64" s="12" t="n">
        <v>16.3</v>
      </c>
      <c r="G64" s="12" t="n">
        <v>75</v>
      </c>
      <c r="H64" s="12"/>
      <c r="I64" s="12"/>
      <c r="J64" s="12"/>
      <c r="K64" s="12"/>
      <c r="L64" s="12"/>
      <c r="M64" s="12"/>
      <c r="N64" s="12" t="n">
        <f aca="false">SUM(E64:L64)+N(M64)</f>
        <v>174.6</v>
      </c>
      <c r="O64" s="38" t="n">
        <f aca="false">N64-D64</f>
        <v>0.0999999999999943</v>
      </c>
    </row>
    <row r="65" customFormat="false" ht="15" hidden="false" customHeight="false" outlineLevel="0" collapsed="false">
      <c r="A65" s="31" t="n">
        <v>61</v>
      </c>
      <c r="B65" s="31" t="n">
        <v>105</v>
      </c>
      <c r="C65" s="27" t="s">
        <v>216</v>
      </c>
      <c r="D65" s="12" t="n">
        <v>166.9</v>
      </c>
      <c r="E65" s="12" t="n">
        <v>58</v>
      </c>
      <c r="F65" s="12" t="n">
        <v>18.4</v>
      </c>
      <c r="G65" s="12" t="n">
        <v>85</v>
      </c>
      <c r="H65" s="12" t="n">
        <v>0</v>
      </c>
      <c r="I65" s="12" t="n">
        <v>3.5</v>
      </c>
      <c r="J65" s="12" t="n">
        <v>0</v>
      </c>
      <c r="K65" s="12" t="n">
        <v>2</v>
      </c>
      <c r="L65" s="12"/>
      <c r="M65" s="12"/>
      <c r="N65" s="12" t="n">
        <f aca="false">SUM(E65:L65)+N(M65)</f>
        <v>166.9</v>
      </c>
      <c r="O65" s="38" t="n">
        <f aca="false">N65-D65</f>
        <v>0</v>
      </c>
    </row>
    <row r="66" customFormat="false" ht="15" hidden="false" customHeight="false" outlineLevel="0" collapsed="false">
      <c r="A66" s="31" t="n">
        <v>62</v>
      </c>
      <c r="B66" s="31" t="n">
        <v>18</v>
      </c>
      <c r="C66" s="27" t="s">
        <v>217</v>
      </c>
      <c r="D66" s="12" t="n">
        <v>165.1</v>
      </c>
      <c r="E66" s="12" t="n">
        <v>34</v>
      </c>
      <c r="F66" s="12" t="n">
        <v>51.1</v>
      </c>
      <c r="G66" s="12" t="n">
        <v>80</v>
      </c>
      <c r="H66" s="12"/>
      <c r="I66" s="12"/>
      <c r="J66" s="12"/>
      <c r="K66" s="12"/>
      <c r="L66" s="12"/>
      <c r="M66" s="12"/>
      <c r="N66" s="12" t="n">
        <f aca="false">SUM(E66:L66)+N(M66)</f>
        <v>165.1</v>
      </c>
      <c r="O66" s="38" t="n">
        <f aca="false">N66-D66</f>
        <v>0</v>
      </c>
    </row>
    <row r="67" customFormat="false" ht="15" hidden="false" customHeight="false" outlineLevel="0" collapsed="false">
      <c r="A67" s="31" t="n">
        <v>63</v>
      </c>
      <c r="B67" s="31" t="n">
        <v>64</v>
      </c>
      <c r="C67" s="27" t="s">
        <v>218</v>
      </c>
      <c r="D67" s="12" t="n">
        <v>158.4</v>
      </c>
      <c r="E67" s="12" t="n">
        <v>77.1</v>
      </c>
      <c r="F67" s="12" t="n">
        <v>16.3</v>
      </c>
      <c r="G67" s="12" t="n">
        <v>65</v>
      </c>
      <c r="H67" s="12"/>
      <c r="I67" s="12"/>
      <c r="J67" s="12"/>
      <c r="K67" s="12"/>
      <c r="L67" s="12"/>
      <c r="M67" s="12"/>
      <c r="N67" s="12" t="n">
        <f aca="false">SUM(E67:L67)+N(M67)</f>
        <v>158.4</v>
      </c>
      <c r="O67" s="38" t="n">
        <f aca="false">N67-D67</f>
        <v>0</v>
      </c>
    </row>
    <row r="68" customFormat="false" ht="15" hidden="false" customHeight="false" outlineLevel="0" collapsed="false">
      <c r="A68" s="31" t="n">
        <v>64</v>
      </c>
      <c r="B68" s="31" t="n">
        <v>60</v>
      </c>
      <c r="C68" s="27" t="s">
        <v>219</v>
      </c>
      <c r="D68" s="12" t="n">
        <v>153.7</v>
      </c>
      <c r="E68" s="12" t="n">
        <v>82.6</v>
      </c>
      <c r="F68" s="12" t="n">
        <v>16.1</v>
      </c>
      <c r="G68" s="12" t="n">
        <v>55</v>
      </c>
      <c r="H68" s="12"/>
      <c r="I68" s="12"/>
      <c r="J68" s="12"/>
      <c r="K68" s="12"/>
      <c r="L68" s="12"/>
      <c r="M68" s="12"/>
      <c r="N68" s="12" t="n">
        <f aca="false">SUM(E68:L68)+N(M68)</f>
        <v>153.7</v>
      </c>
      <c r="O68" s="38" t="n">
        <f aca="false">N68-D68</f>
        <v>0</v>
      </c>
    </row>
    <row r="69" customFormat="false" ht="15" hidden="false" customHeight="false" outlineLevel="0" collapsed="false">
      <c r="A69" s="31" t="n">
        <v>65</v>
      </c>
      <c r="B69" s="31" t="n">
        <v>75</v>
      </c>
      <c r="C69" s="27" t="s">
        <v>220</v>
      </c>
      <c r="D69" s="12" t="n">
        <v>153.1</v>
      </c>
      <c r="E69" s="12" t="n">
        <v>75.3</v>
      </c>
      <c r="F69" s="12" t="n">
        <v>17.8</v>
      </c>
      <c r="G69" s="12" t="n">
        <v>60</v>
      </c>
      <c r="H69" s="12"/>
      <c r="I69" s="12"/>
      <c r="J69" s="12"/>
      <c r="K69" s="12"/>
      <c r="L69" s="12"/>
      <c r="M69" s="12"/>
      <c r="N69" s="12" t="n">
        <f aca="false">SUM(E69:L69)+N(M69)</f>
        <v>153.1</v>
      </c>
      <c r="O69" s="38" t="n">
        <f aca="false">N69-D69</f>
        <v>0</v>
      </c>
    </row>
    <row r="70" customFormat="false" ht="15" hidden="false" customHeight="false" outlineLevel="0" collapsed="false">
      <c r="A70" s="31" t="n">
        <v>66</v>
      </c>
      <c r="B70" s="31" t="n">
        <v>95</v>
      </c>
      <c r="C70" s="27" t="s">
        <v>221</v>
      </c>
      <c r="D70" s="12" t="n">
        <v>152.8</v>
      </c>
      <c r="E70" s="12" t="n">
        <v>78</v>
      </c>
      <c r="F70" s="12" t="n">
        <v>19.8</v>
      </c>
      <c r="G70" s="12" t="n">
        <v>55</v>
      </c>
      <c r="H70" s="12"/>
      <c r="I70" s="12"/>
      <c r="J70" s="12"/>
      <c r="K70" s="12"/>
      <c r="L70" s="12"/>
      <c r="M70" s="12"/>
      <c r="N70" s="12" t="n">
        <f aca="false">SUM(E70:L70)+N(M70)</f>
        <v>152.8</v>
      </c>
      <c r="O70" s="38" t="n">
        <f aca="false">N70-D70</f>
        <v>0</v>
      </c>
    </row>
    <row r="71" customFormat="false" ht="15" hidden="false" customHeight="false" outlineLevel="0" collapsed="false">
      <c r="A71" s="31" t="n">
        <v>67</v>
      </c>
      <c r="B71" s="31" t="n">
        <v>85</v>
      </c>
      <c r="C71" s="27" t="s">
        <v>222</v>
      </c>
      <c r="D71" s="12" t="n">
        <v>146</v>
      </c>
      <c r="E71" s="12" t="n">
        <v>68.2</v>
      </c>
      <c r="F71" s="12" t="n">
        <v>12.8</v>
      </c>
      <c r="G71" s="12" t="n">
        <v>65</v>
      </c>
      <c r="H71" s="12"/>
      <c r="I71" s="12"/>
      <c r="J71" s="12"/>
      <c r="K71" s="12"/>
      <c r="L71" s="12"/>
      <c r="M71" s="12"/>
      <c r="N71" s="12" t="n">
        <f aca="false">SUM(E71:L71)+N(M71)</f>
        <v>146</v>
      </c>
      <c r="O71" s="38" t="n">
        <f aca="false">N71-D71</f>
        <v>0</v>
      </c>
    </row>
    <row r="72" customFormat="false" ht="15" hidden="false" customHeight="false" outlineLevel="0" collapsed="false">
      <c r="A72" s="31" t="n">
        <v>68</v>
      </c>
      <c r="B72" s="31" t="n">
        <v>71</v>
      </c>
      <c r="C72" s="27" t="s">
        <v>223</v>
      </c>
      <c r="D72" s="12" t="n">
        <v>142.5</v>
      </c>
      <c r="E72" s="12" t="n">
        <v>45.8</v>
      </c>
      <c r="F72" s="12" t="n">
        <v>15.6</v>
      </c>
      <c r="G72" s="12" t="n">
        <v>80</v>
      </c>
      <c r="H72" s="12"/>
      <c r="I72" s="12"/>
      <c r="J72" s="12"/>
      <c r="K72" s="12" t="n">
        <v>1</v>
      </c>
      <c r="L72" s="12"/>
      <c r="M72" s="12"/>
      <c r="N72" s="12" t="n">
        <f aca="false">SUM(E72:L72)+N(M72)</f>
        <v>142.4</v>
      </c>
      <c r="O72" s="38" t="n">
        <f aca="false">N72-D72</f>
        <v>-0.0999999999999943</v>
      </c>
    </row>
    <row r="73" customFormat="false" ht="15" hidden="false" customHeight="false" outlineLevel="0" collapsed="false">
      <c r="A73" s="31" t="n">
        <v>69</v>
      </c>
      <c r="B73" s="31" t="n">
        <v>48</v>
      </c>
      <c r="C73" s="27" t="s">
        <v>224</v>
      </c>
      <c r="D73" s="12" t="n">
        <v>138.2</v>
      </c>
      <c r="E73" s="12" t="n">
        <v>53.3</v>
      </c>
      <c r="F73" s="12" t="n">
        <v>14.9</v>
      </c>
      <c r="G73" s="12" t="n">
        <v>70</v>
      </c>
      <c r="H73" s="12"/>
      <c r="I73" s="12"/>
      <c r="J73" s="12"/>
      <c r="K73" s="12"/>
      <c r="L73" s="12"/>
      <c r="M73" s="12"/>
      <c r="N73" s="12" t="n">
        <f aca="false">SUM(E73:L73)+N(M73)</f>
        <v>138.2</v>
      </c>
      <c r="O73" s="38" t="n">
        <f aca="false">N73-D73</f>
        <v>0</v>
      </c>
    </row>
    <row r="74" customFormat="false" ht="15" hidden="false" customHeight="false" outlineLevel="0" collapsed="false">
      <c r="A74" s="31" t="n">
        <v>70</v>
      </c>
      <c r="B74" s="31" t="n">
        <v>94</v>
      </c>
      <c r="C74" s="27" t="s">
        <v>225</v>
      </c>
      <c r="D74" s="12" t="n">
        <v>134.8</v>
      </c>
      <c r="E74" s="12" t="n">
        <v>44.8</v>
      </c>
      <c r="F74" s="12" t="n">
        <v>20</v>
      </c>
      <c r="G74" s="12" t="n">
        <v>70</v>
      </c>
      <c r="H74" s="12"/>
      <c r="I74" s="12"/>
      <c r="J74" s="12"/>
      <c r="K74" s="12"/>
      <c r="L74" s="12"/>
      <c r="M74" s="12"/>
      <c r="N74" s="12" t="n">
        <f aca="false">SUM(E74:L74)+N(M74)</f>
        <v>134.8</v>
      </c>
      <c r="O74" s="38" t="n">
        <f aca="false">N74-D74</f>
        <v>0</v>
      </c>
    </row>
    <row r="75" customFormat="false" ht="15" hidden="false" customHeight="false" outlineLevel="0" collapsed="false">
      <c r="A75" s="31" t="n">
        <v>71</v>
      </c>
      <c r="B75" s="31" t="n">
        <v>37</v>
      </c>
      <c r="C75" s="27" t="s">
        <v>226</v>
      </c>
      <c r="D75" s="12" t="n">
        <v>132.2</v>
      </c>
      <c r="E75" s="12" t="n">
        <v>55.7</v>
      </c>
      <c r="F75" s="12" t="n">
        <v>11.5</v>
      </c>
      <c r="G75" s="12" t="n">
        <v>65</v>
      </c>
      <c r="H75" s="12"/>
      <c r="I75" s="12"/>
      <c r="J75" s="12"/>
      <c r="K75" s="12"/>
      <c r="L75" s="12"/>
      <c r="M75" s="12"/>
      <c r="N75" s="12" t="n">
        <f aca="false">SUM(E75:L75)+N(M75)</f>
        <v>132.2</v>
      </c>
      <c r="O75" s="38" t="n">
        <f aca="false">N75-D75</f>
        <v>0</v>
      </c>
    </row>
    <row r="76" customFormat="false" ht="15" hidden="false" customHeight="false" outlineLevel="0" collapsed="false">
      <c r="A76" s="31" t="n">
        <v>72</v>
      </c>
      <c r="B76" s="31" t="n">
        <v>88</v>
      </c>
      <c r="C76" s="27" t="s">
        <v>227</v>
      </c>
      <c r="D76" s="12" t="n">
        <v>130.6</v>
      </c>
      <c r="E76" s="12" t="n">
        <v>80.6</v>
      </c>
      <c r="F76" s="12" t="n">
        <v>5</v>
      </c>
      <c r="G76" s="12" t="n">
        <v>45</v>
      </c>
      <c r="H76" s="12"/>
      <c r="I76" s="12"/>
      <c r="J76" s="12"/>
      <c r="K76" s="12"/>
      <c r="L76" s="12"/>
      <c r="M76" s="12"/>
      <c r="N76" s="12" t="n">
        <f aca="false">SUM(E76:L76)+N(M76)</f>
        <v>130.6</v>
      </c>
      <c r="O76" s="38" t="n">
        <f aca="false">N76-D76</f>
        <v>0</v>
      </c>
    </row>
    <row r="77" customFormat="false" ht="15" hidden="false" customHeight="false" outlineLevel="0" collapsed="false">
      <c r="A77" s="31" t="n">
        <v>73</v>
      </c>
      <c r="B77" s="31" t="n">
        <v>47</v>
      </c>
      <c r="C77" s="27" t="s">
        <v>228</v>
      </c>
      <c r="D77" s="12" t="n">
        <v>128.4</v>
      </c>
      <c r="E77" s="12" t="n">
        <v>71.8</v>
      </c>
      <c r="F77" s="12" t="n">
        <v>16.5</v>
      </c>
      <c r="G77" s="12" t="n">
        <v>40</v>
      </c>
      <c r="H77" s="12"/>
      <c r="I77" s="12"/>
      <c r="J77" s="12"/>
      <c r="K77" s="12"/>
      <c r="L77" s="12"/>
      <c r="M77" s="12"/>
      <c r="N77" s="12" t="n">
        <f aca="false">SUM(E77:L77)+N(M77)</f>
        <v>128.3</v>
      </c>
      <c r="O77" s="38" t="n">
        <f aca="false">N77-D77</f>
        <v>-0.0999999999999943</v>
      </c>
    </row>
    <row r="78" customFormat="false" ht="15" hidden="false" customHeight="false" outlineLevel="0" collapsed="false">
      <c r="A78" s="31" t="n">
        <v>74</v>
      </c>
      <c r="B78" s="31" t="n">
        <v>77</v>
      </c>
      <c r="C78" s="27" t="s">
        <v>229</v>
      </c>
      <c r="D78" s="12" t="n">
        <v>123.9</v>
      </c>
      <c r="E78" s="12" t="n">
        <v>55.3</v>
      </c>
      <c r="F78" s="12" t="n">
        <v>18.6</v>
      </c>
      <c r="G78" s="12" t="n">
        <v>50</v>
      </c>
      <c r="H78" s="12"/>
      <c r="I78" s="12"/>
      <c r="J78" s="12"/>
      <c r="K78" s="12"/>
      <c r="L78" s="12"/>
      <c r="M78" s="12"/>
      <c r="N78" s="12" t="n">
        <f aca="false">SUM(E78:L78)+N(M78)</f>
        <v>123.9</v>
      </c>
      <c r="O78" s="38" t="n">
        <f aca="false">N78-D78</f>
        <v>0</v>
      </c>
    </row>
    <row r="79" customFormat="false" ht="15" hidden="false" customHeight="false" outlineLevel="0" collapsed="false">
      <c r="A79" s="31" t="n">
        <v>75</v>
      </c>
      <c r="B79" s="31" t="n">
        <v>16</v>
      </c>
      <c r="C79" s="27" t="s">
        <v>230</v>
      </c>
      <c r="D79" s="12" t="n">
        <v>123.3</v>
      </c>
      <c r="E79" s="12" t="n">
        <v>42.6</v>
      </c>
      <c r="F79" s="12" t="n">
        <v>15.6</v>
      </c>
      <c r="G79" s="12" t="n">
        <v>65</v>
      </c>
      <c r="H79" s="12"/>
      <c r="I79" s="12"/>
      <c r="J79" s="12"/>
      <c r="K79" s="12"/>
      <c r="L79" s="12"/>
      <c r="M79" s="12"/>
      <c r="N79" s="12" t="n">
        <f aca="false">SUM(E79:L79)+N(M79)</f>
        <v>123.2</v>
      </c>
      <c r="O79" s="38" t="n">
        <f aca="false">N79-D79</f>
        <v>-0.0999999999999943</v>
      </c>
    </row>
    <row r="80" customFormat="false" ht="15" hidden="false" customHeight="false" outlineLevel="0" collapsed="false">
      <c r="A80" s="31" t="n">
        <v>76</v>
      </c>
      <c r="B80" s="31" t="n">
        <v>58</v>
      </c>
      <c r="C80" s="27" t="s">
        <v>231</v>
      </c>
      <c r="D80" s="12" t="n">
        <v>122.7</v>
      </c>
      <c r="E80" s="12" t="n">
        <v>67.5</v>
      </c>
      <c r="F80" s="12" t="n">
        <v>15.2</v>
      </c>
      <c r="G80" s="12" t="n">
        <v>40</v>
      </c>
      <c r="H80" s="12"/>
      <c r="I80" s="12"/>
      <c r="J80" s="12"/>
      <c r="K80" s="12"/>
      <c r="L80" s="12"/>
      <c r="M80" s="12"/>
      <c r="N80" s="12" t="n">
        <f aca="false">SUM(E80:L80)+N(M80)</f>
        <v>122.7</v>
      </c>
      <c r="O80" s="38" t="n">
        <f aca="false">N80-D80</f>
        <v>0</v>
      </c>
    </row>
    <row r="81" customFormat="false" ht="15" hidden="false" customHeight="false" outlineLevel="0" collapsed="false">
      <c r="A81" s="31" t="n">
        <v>77</v>
      </c>
      <c r="B81" s="31" t="n">
        <v>80</v>
      </c>
      <c r="C81" s="27" t="s">
        <v>232</v>
      </c>
      <c r="D81" s="12" t="n">
        <v>118.2</v>
      </c>
      <c r="E81" s="12" t="n">
        <v>60.4</v>
      </c>
      <c r="F81" s="12" t="n">
        <v>17.9</v>
      </c>
      <c r="G81" s="12" t="n">
        <v>40</v>
      </c>
      <c r="H81" s="12"/>
      <c r="I81" s="12"/>
      <c r="J81" s="12"/>
      <c r="K81" s="12"/>
      <c r="L81" s="12"/>
      <c r="M81" s="12"/>
      <c r="N81" s="12" t="n">
        <f aca="false">SUM(E81:L81)+N(M81)</f>
        <v>118.3</v>
      </c>
      <c r="O81" s="38" t="n">
        <f aca="false">N81-D81</f>
        <v>0.0999999999999943</v>
      </c>
    </row>
    <row r="82" customFormat="false" ht="15" hidden="false" customHeight="false" outlineLevel="0" collapsed="false">
      <c r="A82" s="31" t="n">
        <v>78</v>
      </c>
      <c r="B82" s="31" t="n">
        <v>12</v>
      </c>
      <c r="C82" s="27" t="s">
        <v>233</v>
      </c>
      <c r="D82" s="12" t="n">
        <v>116.6</v>
      </c>
      <c r="E82" s="12" t="n">
        <v>62.7</v>
      </c>
      <c r="F82" s="12" t="n">
        <v>18.9</v>
      </c>
      <c r="G82" s="12" t="n">
        <v>35</v>
      </c>
      <c r="H82" s="12"/>
      <c r="I82" s="12"/>
      <c r="J82" s="12"/>
      <c r="K82" s="12"/>
      <c r="L82" s="12"/>
      <c r="M82" s="12"/>
      <c r="N82" s="12" t="n">
        <f aca="false">SUM(E82:L82)+N(M82)</f>
        <v>116.6</v>
      </c>
      <c r="O82" s="38" t="n">
        <f aca="false">N82-D82</f>
        <v>0</v>
      </c>
    </row>
    <row r="83" customFormat="false" ht="15" hidden="false" customHeight="false" outlineLevel="0" collapsed="false">
      <c r="A83" s="31" t="n">
        <v>79</v>
      </c>
      <c r="B83" s="31" t="n">
        <v>117</v>
      </c>
      <c r="C83" s="27" t="s">
        <v>234</v>
      </c>
      <c r="D83" s="12" t="n">
        <v>106.4</v>
      </c>
      <c r="E83" s="12" t="n">
        <v>2.5</v>
      </c>
      <c r="F83" s="12" t="n">
        <v>48.9</v>
      </c>
      <c r="G83" s="12" t="n">
        <v>55</v>
      </c>
      <c r="H83" s="12"/>
      <c r="I83" s="12"/>
      <c r="J83" s="12"/>
      <c r="K83" s="12"/>
      <c r="L83" s="12"/>
      <c r="M83" s="12"/>
      <c r="N83" s="12" t="n">
        <f aca="false">SUM(E83:L83)+N(M83)</f>
        <v>106.4</v>
      </c>
      <c r="O83" s="38" t="n">
        <f aca="false">N83-D83</f>
        <v>0</v>
      </c>
    </row>
    <row r="84" customFormat="false" ht="15" hidden="false" customHeight="false" outlineLevel="0" collapsed="false">
      <c r="A84" s="31" t="n">
        <v>80</v>
      </c>
      <c r="B84" s="31" t="n">
        <v>52</v>
      </c>
      <c r="C84" s="27" t="s">
        <v>235</v>
      </c>
      <c r="D84" s="12" t="n">
        <v>105.5</v>
      </c>
      <c r="E84" s="12" t="n">
        <v>65.9</v>
      </c>
      <c r="F84" s="12" t="n">
        <v>14.6</v>
      </c>
      <c r="G84" s="12" t="n">
        <v>25</v>
      </c>
      <c r="H84" s="12"/>
      <c r="I84" s="12"/>
      <c r="J84" s="12"/>
      <c r="K84" s="12"/>
      <c r="L84" s="12"/>
      <c r="M84" s="12"/>
      <c r="N84" s="12" t="n">
        <f aca="false">SUM(E84:L84)+N(M84)</f>
        <v>105.5</v>
      </c>
      <c r="O84" s="38" t="n">
        <f aca="false">N84-D84</f>
        <v>0</v>
      </c>
    </row>
    <row r="85" customFormat="false" ht="15" hidden="false" customHeight="false" outlineLevel="0" collapsed="false">
      <c r="A85" s="31" t="n">
        <v>81</v>
      </c>
      <c r="B85" s="31" t="n">
        <v>40</v>
      </c>
      <c r="C85" s="27" t="s">
        <v>236</v>
      </c>
      <c r="D85" s="12" t="n">
        <v>95.8</v>
      </c>
      <c r="E85" s="12" t="n">
        <v>56.3</v>
      </c>
      <c r="F85" s="12" t="n">
        <v>14.5</v>
      </c>
      <c r="G85" s="12" t="n">
        <v>25</v>
      </c>
      <c r="H85" s="12"/>
      <c r="I85" s="12"/>
      <c r="J85" s="12"/>
      <c r="K85" s="12"/>
      <c r="L85" s="12"/>
      <c r="M85" s="12"/>
      <c r="N85" s="12" t="n">
        <f aca="false">SUM(E85:L85)+N(M85)</f>
        <v>95.8</v>
      </c>
      <c r="O85" s="38" t="n">
        <f aca="false">N85-D85</f>
        <v>0</v>
      </c>
    </row>
    <row r="86" customFormat="false" ht="15" hidden="false" customHeight="false" outlineLevel="0" collapsed="false">
      <c r="A86" s="31" t="n">
        <v>82</v>
      </c>
      <c r="B86" s="31" t="n">
        <v>83</v>
      </c>
      <c r="C86" s="27" t="s">
        <v>237</v>
      </c>
      <c r="D86" s="12" t="n">
        <v>93.4</v>
      </c>
      <c r="E86" s="12" t="n">
        <v>26.6</v>
      </c>
      <c r="F86" s="12" t="n">
        <v>36.8</v>
      </c>
      <c r="G86" s="12" t="n">
        <v>30</v>
      </c>
      <c r="H86" s="12"/>
      <c r="I86" s="12"/>
      <c r="J86" s="12"/>
      <c r="K86" s="12"/>
      <c r="L86" s="12"/>
      <c r="M86" s="12"/>
      <c r="N86" s="12" t="n">
        <f aca="false">SUM(E86:L86)+N(M86)</f>
        <v>93.4</v>
      </c>
      <c r="O86" s="38" t="n">
        <f aca="false">N86-D86</f>
        <v>0</v>
      </c>
    </row>
    <row r="87" customFormat="false" ht="15" hidden="false" customHeight="false" outlineLevel="0" collapsed="false">
      <c r="A87" s="31" t="n">
        <v>83</v>
      </c>
      <c r="B87" s="31" t="n">
        <v>63</v>
      </c>
      <c r="C87" s="27" t="s">
        <v>238</v>
      </c>
      <c r="D87" s="12" t="n">
        <v>87.9</v>
      </c>
      <c r="E87" s="12" t="n">
        <v>34</v>
      </c>
      <c r="F87" s="12" t="n">
        <v>13.9</v>
      </c>
      <c r="G87" s="12" t="n">
        <v>40</v>
      </c>
      <c r="H87" s="12"/>
      <c r="I87" s="12"/>
      <c r="J87" s="12"/>
      <c r="K87" s="12"/>
      <c r="L87" s="12"/>
      <c r="M87" s="12"/>
      <c r="N87" s="12" t="n">
        <f aca="false">SUM(E87:L87)+N(M87)</f>
        <v>87.9</v>
      </c>
      <c r="O87" s="38" t="n">
        <f aca="false">N87-D87</f>
        <v>0</v>
      </c>
    </row>
    <row r="88" customFormat="false" ht="15" hidden="false" customHeight="false" outlineLevel="0" collapsed="false">
      <c r="A88" s="31" t="n">
        <v>84</v>
      </c>
      <c r="B88" s="31" t="n">
        <v>82</v>
      </c>
      <c r="C88" s="27" t="s">
        <v>239</v>
      </c>
      <c r="D88" s="12" t="n">
        <v>70.2</v>
      </c>
      <c r="E88" s="12"/>
      <c r="F88" s="12" t="n">
        <v>15.2</v>
      </c>
      <c r="G88" s="12" t="n">
        <v>55</v>
      </c>
      <c r="H88" s="12"/>
      <c r="I88" s="12"/>
      <c r="J88" s="12"/>
      <c r="K88" s="12"/>
      <c r="L88" s="12"/>
      <c r="M88" s="12"/>
      <c r="N88" s="12" t="n">
        <f aca="false">SUM(E88:L88)+N(M88)</f>
        <v>70.2</v>
      </c>
      <c r="O88" s="38" t="n">
        <f aca="false">N88-D88</f>
        <v>0</v>
      </c>
    </row>
    <row r="89" customFormat="false" ht="15" hidden="false" customHeight="false" outlineLevel="0" collapsed="false">
      <c r="A89" s="31" t="n">
        <v>85</v>
      </c>
      <c r="B89" s="31" t="n">
        <v>81</v>
      </c>
      <c r="C89" s="27" t="s">
        <v>240</v>
      </c>
      <c r="D89" s="12" t="n">
        <v>60.9</v>
      </c>
      <c r="E89" s="12" t="n">
        <v>10.9</v>
      </c>
      <c r="F89" s="12" t="n">
        <v>15</v>
      </c>
      <c r="G89" s="12" t="n">
        <v>35</v>
      </c>
      <c r="H89" s="12"/>
      <c r="I89" s="12"/>
      <c r="J89" s="12"/>
      <c r="K89" s="12"/>
      <c r="L89" s="12"/>
      <c r="M89" s="12"/>
      <c r="N89" s="12" t="n">
        <f aca="false">SUM(E89:L89)+N(M89)</f>
        <v>60.9</v>
      </c>
      <c r="O89" s="38" t="n">
        <f aca="false">N89-D89</f>
        <v>0</v>
      </c>
    </row>
    <row r="90" customFormat="false" ht="15" hidden="false" customHeight="false" outlineLevel="0" collapsed="false">
      <c r="A90" s="31" t="n">
        <v>86</v>
      </c>
      <c r="B90" s="31" t="n">
        <v>76</v>
      </c>
      <c r="C90" s="27" t="s">
        <v>241</v>
      </c>
      <c r="D90" s="12" t="n">
        <v>21.1</v>
      </c>
      <c r="E90" s="12"/>
      <c r="F90" s="12" t="n">
        <v>11.1</v>
      </c>
      <c r="G90" s="12" t="n">
        <v>10</v>
      </c>
      <c r="H90" s="12"/>
      <c r="I90" s="12"/>
      <c r="J90" s="12"/>
      <c r="K90" s="12"/>
      <c r="L90" s="12"/>
      <c r="M90" s="12"/>
      <c r="N90" s="12" t="n">
        <f aca="false">SUM(E90:L90)+N(M90)</f>
        <v>21.1</v>
      </c>
      <c r="O90" s="38" t="n">
        <f aca="false">N90-D90</f>
        <v>0</v>
      </c>
    </row>
    <row r="91" customFormat="false" ht="15" hidden="false" customHeight="false" outlineLevel="0" collapsed="false">
      <c r="A91" s="31" t="n">
        <v>87</v>
      </c>
      <c r="B91" s="31" t="n">
        <v>69</v>
      </c>
      <c r="C91" s="27" t="s">
        <v>242</v>
      </c>
      <c r="D91" s="12" t="n">
        <v>14.9</v>
      </c>
      <c r="E91" s="12"/>
      <c r="F91" s="12" t="n">
        <v>14.9</v>
      </c>
      <c r="G91" s="12"/>
      <c r="H91" s="12"/>
      <c r="I91" s="12"/>
      <c r="J91" s="12"/>
      <c r="K91" s="12"/>
      <c r="L91" s="12"/>
      <c r="M91" s="12"/>
      <c r="N91" s="12" t="n">
        <f aca="false">SUM(E91:L91)+N(M91)</f>
        <v>14.9</v>
      </c>
      <c r="O91" s="38" t="n">
        <f aca="false">N91-D91</f>
        <v>0</v>
      </c>
    </row>
    <row r="92" customFormat="false" ht="15" hidden="false" customHeight="false" outlineLevel="0" collapsed="false">
      <c r="A92" s="31" t="n">
        <v>88</v>
      </c>
      <c r="B92" s="31" t="n">
        <v>59</v>
      </c>
      <c r="C92" s="27" t="s">
        <v>243</v>
      </c>
      <c r="D92" s="12" t="n">
        <v>10</v>
      </c>
      <c r="E92" s="12" t="n">
        <v>2.5</v>
      </c>
      <c r="F92" s="12" t="n">
        <v>12.7</v>
      </c>
      <c r="G92" s="12" t="n">
        <v>10</v>
      </c>
      <c r="H92" s="12"/>
      <c r="I92" s="12"/>
      <c r="J92" s="12"/>
      <c r="K92" s="12"/>
      <c r="L92" s="12"/>
      <c r="M92" s="12" t="n">
        <v>-20</v>
      </c>
      <c r="N92" s="12" t="n">
        <f aca="false">SUM(E92:L92)+N(M92)</f>
        <v>5.2</v>
      </c>
      <c r="O92" s="38" t="n">
        <f aca="false">N92-D92</f>
        <v>-4.8</v>
      </c>
    </row>
    <row r="94" customFormat="false" ht="21.75" hidden="false" customHeight="true" outlineLevel="0" collapsed="false">
      <c r="A94" s="7" t="s">
        <v>244</v>
      </c>
      <c r="B94" s="7"/>
      <c r="C94" s="7"/>
      <c r="D94" s="7"/>
      <c r="E94" s="7"/>
      <c r="F94" s="7"/>
      <c r="G94" s="7"/>
      <c r="H94" s="7"/>
      <c r="I94" s="7"/>
      <c r="J94" s="7"/>
      <c r="K94" s="7"/>
      <c r="L94" s="7"/>
      <c r="M94" s="7"/>
      <c r="N94" s="7"/>
      <c r="O94" s="7"/>
    </row>
    <row r="95" customFormat="false" ht="19.5" hidden="false" customHeight="true" outlineLevel="0" collapsed="false">
      <c r="A95" s="8"/>
      <c r="B95" s="8" t="s">
        <v>173</v>
      </c>
      <c r="C95" s="8" t="s">
        <v>145</v>
      </c>
      <c r="D95" s="8"/>
      <c r="E95" s="8"/>
      <c r="F95" s="8" t="s">
        <v>47</v>
      </c>
    </row>
    <row r="96" customFormat="false" ht="15" hidden="false" customHeight="false" outlineLevel="0" collapsed="false">
      <c r="B96" s="31" t="n">
        <v>90</v>
      </c>
      <c r="C96" s="27" t="s">
        <v>245</v>
      </c>
      <c r="F96" s="12" t="n">
        <v>51.3</v>
      </c>
    </row>
    <row r="97" customFormat="false" ht="15" hidden="false" customHeight="false" outlineLevel="0" collapsed="false">
      <c r="B97" s="31" t="n">
        <v>20</v>
      </c>
      <c r="C97" s="27" t="s">
        <v>246</v>
      </c>
      <c r="F97" s="12" t="n">
        <v>41.4</v>
      </c>
    </row>
    <row r="98" customFormat="false" ht="15" hidden="false" customHeight="false" outlineLevel="0" collapsed="false">
      <c r="B98" s="31" t="n">
        <v>28</v>
      </c>
      <c r="C98" s="27" t="s">
        <v>247</v>
      </c>
      <c r="F98" s="12" t="n">
        <v>36.8</v>
      </c>
    </row>
    <row r="99" customFormat="false" ht="15" hidden="false" customHeight="false" outlineLevel="0" collapsed="false">
      <c r="B99" s="31" t="n">
        <v>49</v>
      </c>
      <c r="C99" s="27" t="s">
        <v>248</v>
      </c>
      <c r="F99" s="12" t="n">
        <v>36</v>
      </c>
    </row>
    <row r="100" customFormat="false" ht="15" hidden="false" customHeight="false" outlineLevel="0" collapsed="false">
      <c r="B100" s="31" t="n">
        <v>118</v>
      </c>
      <c r="C100" s="27" t="s">
        <v>249</v>
      </c>
      <c r="F100" s="12" t="n">
        <v>26</v>
      </c>
    </row>
    <row r="101" customFormat="false" ht="15" hidden="false" customHeight="false" outlineLevel="0" collapsed="false">
      <c r="B101" s="31" t="n">
        <v>78</v>
      </c>
      <c r="C101" s="27" t="s">
        <v>250</v>
      </c>
      <c r="F101" s="12" t="n">
        <v>25</v>
      </c>
    </row>
    <row r="102" customFormat="false" ht="15" hidden="false" customHeight="false" outlineLevel="0" collapsed="false">
      <c r="B102" s="31" t="n">
        <v>45</v>
      </c>
      <c r="C102" s="27" t="s">
        <v>251</v>
      </c>
      <c r="F102" s="12" t="n">
        <v>19.8</v>
      </c>
    </row>
    <row r="103" customFormat="false" ht="15" hidden="false" customHeight="false" outlineLevel="0" collapsed="false">
      <c r="B103" s="31" t="n">
        <v>54</v>
      </c>
      <c r="C103" s="27" t="s">
        <v>252</v>
      </c>
      <c r="F103" s="12" t="n">
        <v>19.8</v>
      </c>
    </row>
    <row r="104" customFormat="false" ht="15" hidden="false" customHeight="false" outlineLevel="0" collapsed="false">
      <c r="B104" s="31" t="n">
        <v>72</v>
      </c>
      <c r="C104" s="27" t="s">
        <v>253</v>
      </c>
      <c r="F104" s="12" t="n">
        <v>18.8</v>
      </c>
    </row>
    <row r="105" customFormat="false" ht="15" hidden="false" customHeight="false" outlineLevel="0" collapsed="false">
      <c r="B105" s="31" t="n">
        <v>27</v>
      </c>
      <c r="C105" s="27" t="s">
        <v>164</v>
      </c>
      <c r="F105" s="12" t="n">
        <v>18.2</v>
      </c>
    </row>
    <row r="106" customFormat="false" ht="15" hidden="false" customHeight="false" outlineLevel="0" collapsed="false">
      <c r="B106" s="31" t="n">
        <v>107</v>
      </c>
      <c r="C106" s="27" t="s">
        <v>254</v>
      </c>
      <c r="F106" s="12" t="n">
        <v>18</v>
      </c>
    </row>
    <row r="107" customFormat="false" ht="15" hidden="false" customHeight="false" outlineLevel="0" collapsed="false">
      <c r="B107" s="31" t="n">
        <v>91</v>
      </c>
      <c r="C107" s="27" t="s">
        <v>255</v>
      </c>
      <c r="F107" s="12" t="n">
        <v>16.1</v>
      </c>
    </row>
    <row r="108" customFormat="false" ht="15" hidden="false" customHeight="false" outlineLevel="0" collapsed="false">
      <c r="B108" s="31" t="n">
        <v>55</v>
      </c>
      <c r="C108" s="27" t="s">
        <v>256</v>
      </c>
      <c r="F108" s="12" t="n">
        <v>13.6</v>
      </c>
    </row>
    <row r="109" customFormat="false" ht="15" hidden="false" customHeight="false" outlineLevel="0" collapsed="false">
      <c r="B109" s="31" t="n">
        <v>15</v>
      </c>
      <c r="C109" s="27" t="s">
        <v>257</v>
      </c>
      <c r="F109" s="12" t="n">
        <v>13.4</v>
      </c>
    </row>
    <row r="110" customFormat="false" ht="15" hidden="false" customHeight="false" outlineLevel="0" collapsed="false">
      <c r="B110" s="31" t="n">
        <v>34</v>
      </c>
      <c r="C110" s="27" t="s">
        <v>258</v>
      </c>
      <c r="F110" s="12" t="n">
        <v>11.7</v>
      </c>
    </row>
    <row r="111" customFormat="false" ht="15" hidden="false" customHeight="false" outlineLevel="0" collapsed="false">
      <c r="B111" s="31" t="n">
        <v>39</v>
      </c>
      <c r="C111" s="27" t="s">
        <v>259</v>
      </c>
      <c r="F111" s="12" t="n">
        <v>11.6</v>
      </c>
    </row>
    <row r="112" customFormat="false" ht="15" hidden="false" customHeight="false" outlineLevel="0" collapsed="false">
      <c r="B112" s="31" t="n">
        <v>13</v>
      </c>
      <c r="C112" s="27" t="s">
        <v>260</v>
      </c>
      <c r="F112" s="12" t="n">
        <v>9.6</v>
      </c>
    </row>
    <row r="113" customFormat="false" ht="15" hidden="false" customHeight="false" outlineLevel="0" collapsed="false">
      <c r="B113" s="31" t="n">
        <v>114</v>
      </c>
      <c r="C113" s="27" t="s">
        <v>261</v>
      </c>
      <c r="F113" s="12" t="n">
        <v>8.1</v>
      </c>
    </row>
    <row r="114" customFormat="false" ht="15" hidden="false" customHeight="false" outlineLevel="0" collapsed="false">
      <c r="B114" s="31" t="n">
        <v>36</v>
      </c>
      <c r="C114" s="27" t="s">
        <v>262</v>
      </c>
      <c r="F114" s="12" t="n">
        <v>5</v>
      </c>
    </row>
    <row r="115" customFormat="false" ht="15" hidden="false" customHeight="false" outlineLevel="0" collapsed="false">
      <c r="B115" s="31" t="n">
        <v>67</v>
      </c>
      <c r="C115" s="27" t="s">
        <v>263</v>
      </c>
      <c r="F115" s="12" t="n">
        <v>5</v>
      </c>
    </row>
  </sheetData>
  <mergeCells count="3">
    <mergeCell ref="A1:O1"/>
    <mergeCell ref="A2:O2"/>
    <mergeCell ref="A94:O94"/>
  </mergeCells>
  <conditionalFormatting sqref="O5:O92">
    <cfRule type="cellIs" priority="2" operator="notBetween" aboveAverage="0" equalAverage="0" bottom="0" percent="0" rank="0" text="" dxfId="0">
      <formula>-1</formula>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14213D"/>
    <pageSetUpPr fitToPage="tru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9"/>
    <col collapsed="false" customWidth="true" hidden="false" outlineLevel="0" max="4" min="4" style="0" width="8"/>
    <col collapsed="false" customWidth="true" hidden="false" outlineLevel="0" max="5" min="5" style="0" width="9"/>
    <col collapsed="false" customWidth="true" hidden="false" outlineLevel="0" max="6" min="6" style="0" width="8"/>
    <col collapsed="false" customWidth="true" hidden="false" outlineLevel="0" max="7" min="7" style="0" width="9"/>
    <col collapsed="false" customWidth="true" hidden="false" outlineLevel="0" max="8" min="8" style="0" width="8"/>
    <col collapsed="false" customWidth="true" hidden="false" outlineLevel="0" max="9" min="9" style="0" width="9"/>
    <col collapsed="false" customWidth="true" hidden="false" outlineLevel="0" max="10" min="10" style="0" width="8"/>
    <col collapsed="false" customWidth="true" hidden="false" outlineLevel="0" max="11" min="11" style="0" width="9"/>
    <col collapsed="false" customWidth="true" hidden="false" outlineLevel="0" max="13" min="12" style="0" width="10.99"/>
    <col collapsed="false" customWidth="true" hidden="false" outlineLevel="0" max="14" min="14" style="0" width="11.99"/>
  </cols>
  <sheetData>
    <row r="1" customFormat="false" ht="33.75" hidden="false" customHeight="true" outlineLevel="0" collapsed="false">
      <c r="A1" s="1" t="s">
        <v>264</v>
      </c>
      <c r="B1" s="1"/>
      <c r="C1" s="1"/>
      <c r="D1" s="1"/>
      <c r="E1" s="1"/>
      <c r="F1" s="1"/>
      <c r="G1" s="1"/>
      <c r="H1" s="1"/>
      <c r="I1" s="1"/>
      <c r="J1" s="1"/>
      <c r="K1" s="1"/>
      <c r="L1" s="1"/>
      <c r="M1" s="1"/>
      <c r="N1" s="1"/>
    </row>
    <row r="2" customFormat="false" ht="24" hidden="false" customHeight="true" outlineLevel="0" collapsed="false">
      <c r="A2" s="2" t="s">
        <v>265</v>
      </c>
      <c r="B2" s="2"/>
      <c r="C2" s="2"/>
      <c r="D2" s="2"/>
      <c r="E2" s="2"/>
      <c r="F2" s="2"/>
      <c r="G2" s="2"/>
      <c r="H2" s="2"/>
      <c r="I2" s="2"/>
      <c r="J2" s="2"/>
      <c r="K2" s="2"/>
      <c r="L2" s="2"/>
      <c r="M2" s="2"/>
      <c r="N2" s="2"/>
    </row>
    <row r="4" customFormat="false" ht="21.75" hidden="false" customHeight="true" outlineLevel="0" collapsed="false">
      <c r="A4" s="7" t="s">
        <v>266</v>
      </c>
      <c r="B4" s="7"/>
      <c r="C4" s="7"/>
      <c r="D4" s="7"/>
      <c r="E4" s="7"/>
      <c r="F4" s="7"/>
      <c r="G4" s="7"/>
      <c r="H4" s="7"/>
      <c r="I4" s="7"/>
      <c r="J4" s="7"/>
      <c r="K4" s="7"/>
      <c r="L4" s="7"/>
      <c r="M4" s="7"/>
      <c r="N4" s="7"/>
    </row>
    <row r="5" customFormat="false" ht="33.75" hidden="false" customHeight="true" outlineLevel="0" collapsed="false">
      <c r="A5" s="8" t="s">
        <v>145</v>
      </c>
      <c r="B5" s="8" t="s">
        <v>267</v>
      </c>
      <c r="C5" s="8" t="s">
        <v>268</v>
      </c>
      <c r="D5" s="8" t="s">
        <v>269</v>
      </c>
      <c r="E5" s="8" t="s">
        <v>270</v>
      </c>
      <c r="F5" s="8" t="s">
        <v>271</v>
      </c>
      <c r="G5" s="8" t="s">
        <v>272</v>
      </c>
      <c r="H5" s="8" t="s">
        <v>273</v>
      </c>
      <c r="I5" s="8" t="s">
        <v>274</v>
      </c>
      <c r="J5" s="8" t="s">
        <v>275</v>
      </c>
      <c r="K5" s="8" t="s">
        <v>276</v>
      </c>
      <c r="L5" s="8" t="s">
        <v>277</v>
      </c>
      <c r="M5" s="8" t="s">
        <v>278</v>
      </c>
      <c r="N5" s="8" t="s">
        <v>279</v>
      </c>
    </row>
    <row r="6" customFormat="false" ht="15" hidden="false" customHeight="false" outlineLevel="0" collapsed="false">
      <c r="A6" s="36" t="s">
        <v>148</v>
      </c>
      <c r="B6" s="17" t="n">
        <v>5</v>
      </c>
      <c r="C6" s="19" t="n">
        <v>646</v>
      </c>
      <c r="D6" s="17" t="n">
        <v>2</v>
      </c>
      <c r="E6" s="19" t="n">
        <v>762.4</v>
      </c>
      <c r="F6" s="17" t="n">
        <v>14</v>
      </c>
      <c r="G6" s="19" t="n">
        <v>589.9</v>
      </c>
      <c r="H6" s="17" t="n">
        <v>13</v>
      </c>
      <c r="I6" s="19" t="n">
        <v>518</v>
      </c>
      <c r="J6" s="17" t="n">
        <v>4</v>
      </c>
      <c r="K6" s="19" t="n">
        <v>756.9</v>
      </c>
      <c r="L6" s="20" t="n">
        <f aca="false">IF(AND(ISNUMBER(I6),ISNUMBER(K6)),K6-I6,"")</f>
        <v>238.9</v>
      </c>
      <c r="M6" s="20" t="n">
        <f aca="false">IF(ISNUMBER(K6),K6-$K$6,"")</f>
        <v>0</v>
      </c>
      <c r="N6" s="40" t="str">
        <f aca="false">IF(L6="","",IF(L6&gt;10,"up",IF(L6&lt;-10,"down","flat")))</f>
        <v>up</v>
      </c>
    </row>
    <row r="7" customFormat="false" ht="15" hidden="false" customHeight="false" outlineLevel="0" collapsed="false">
      <c r="A7" s="27" t="s">
        <v>36</v>
      </c>
      <c r="B7" s="10" t="n">
        <v>4</v>
      </c>
      <c r="C7" s="12" t="n">
        <v>650.4</v>
      </c>
      <c r="D7" s="10" t="n">
        <v>15</v>
      </c>
      <c r="E7" s="12" t="n">
        <v>362.8</v>
      </c>
      <c r="F7" s="10" t="n">
        <v>21</v>
      </c>
      <c r="G7" s="12" t="n">
        <v>450.7</v>
      </c>
      <c r="H7" s="10" t="n">
        <v>1</v>
      </c>
      <c r="I7" s="12" t="n">
        <v>790.4</v>
      </c>
      <c r="J7" s="10" t="n">
        <v>1</v>
      </c>
      <c r="K7" s="12" t="n">
        <v>895.5</v>
      </c>
      <c r="L7" s="13" t="n">
        <f aca="false">IF(AND(ISNUMBER(I7),ISNUMBER(K7)),K7-I7,"")</f>
        <v>105.1</v>
      </c>
      <c r="M7" s="13" t="n">
        <f aca="false">IF(ISNUMBER(K7),K7-$K$6,"")</f>
        <v>138.6</v>
      </c>
      <c r="N7" s="41" t="str">
        <f aca="false">IF(L7="","",IF(L7&gt;10,"up",IF(L7&lt;-10,"down","flat")))</f>
        <v>up</v>
      </c>
    </row>
    <row r="8" customFormat="false" ht="15" hidden="false" customHeight="false" outlineLevel="0" collapsed="false">
      <c r="A8" s="27" t="s">
        <v>35</v>
      </c>
      <c r="B8" s="10"/>
      <c r="C8" s="12"/>
      <c r="D8" s="10" t="n">
        <v>4</v>
      </c>
      <c r="E8" s="12" t="n">
        <v>728.3</v>
      </c>
      <c r="F8" s="10" t="n">
        <v>1</v>
      </c>
      <c r="G8" s="12" t="n">
        <v>760.6</v>
      </c>
      <c r="H8" s="10" t="n">
        <v>8</v>
      </c>
      <c r="I8" s="12" t="n">
        <v>701.7</v>
      </c>
      <c r="J8" s="10" t="n">
        <v>2</v>
      </c>
      <c r="K8" s="12" t="n">
        <v>856.7</v>
      </c>
      <c r="L8" s="13" t="n">
        <f aca="false">IF(AND(ISNUMBER(I8),ISNUMBER(K8)),K8-I8,"")</f>
        <v>155</v>
      </c>
      <c r="M8" s="13" t="n">
        <f aca="false">IF(ISNUMBER(K8),K8-$K$6,"")</f>
        <v>99.8000000000001</v>
      </c>
      <c r="N8" s="41" t="str">
        <f aca="false">IF(L8="","",IF(L8&gt;10,"up",IF(L8&lt;-10,"down","flat")))</f>
        <v>up</v>
      </c>
    </row>
    <row r="9" customFormat="false" ht="15" hidden="false" customHeight="false" outlineLevel="0" collapsed="false">
      <c r="A9" s="27" t="s">
        <v>153</v>
      </c>
      <c r="B9" s="10"/>
      <c r="C9" s="12"/>
      <c r="D9" s="10"/>
      <c r="E9" s="12"/>
      <c r="F9" s="10" t="n">
        <v>9</v>
      </c>
      <c r="G9" s="12" t="n">
        <v>682.7</v>
      </c>
      <c r="H9" s="10" t="n">
        <v>6</v>
      </c>
      <c r="I9" s="12" t="n">
        <v>723.4</v>
      </c>
      <c r="J9" s="10" t="n">
        <v>3</v>
      </c>
      <c r="K9" s="12" t="n">
        <v>807.2</v>
      </c>
      <c r="L9" s="13" t="n">
        <f aca="false">IF(AND(ISNUMBER(I9),ISNUMBER(K9)),K9-I9,"")</f>
        <v>83.8000000000001</v>
      </c>
      <c r="M9" s="13" t="n">
        <f aca="false">IF(ISNUMBER(K9),K9-$K$6,"")</f>
        <v>50.3000000000001</v>
      </c>
      <c r="N9" s="41" t="str">
        <f aca="false">IF(L9="","",IF(L9&gt;10,"up",IF(L9&lt;-10,"down","flat")))</f>
        <v>up</v>
      </c>
    </row>
    <row r="10" customFormat="false" ht="15" hidden="false" customHeight="false" outlineLevel="0" collapsed="false">
      <c r="A10" s="27" t="s">
        <v>152</v>
      </c>
      <c r="B10" s="10" t="n">
        <v>12</v>
      </c>
      <c r="C10" s="12" t="n">
        <v>250.6</v>
      </c>
      <c r="D10" s="10" t="n">
        <v>13</v>
      </c>
      <c r="E10" s="12" t="n">
        <v>420.1</v>
      </c>
      <c r="F10" s="10" t="n">
        <v>3</v>
      </c>
      <c r="G10" s="12" t="n">
        <v>754.1</v>
      </c>
      <c r="H10" s="10" t="n">
        <v>12</v>
      </c>
      <c r="I10" s="12" t="n">
        <v>566.6</v>
      </c>
      <c r="J10" s="10" t="n">
        <v>6</v>
      </c>
      <c r="K10" s="12" t="n">
        <v>743.9</v>
      </c>
      <c r="L10" s="13" t="n">
        <f aca="false">IF(AND(ISNUMBER(I10),ISNUMBER(K10)),K10-I10,"")</f>
        <v>177.3</v>
      </c>
      <c r="M10" s="13" t="n">
        <f aca="false">IF(ISNUMBER(K10),K10-$K$6,"")</f>
        <v>-13</v>
      </c>
      <c r="N10" s="41" t="str">
        <f aca="false">IF(L10="","",IF(L10&gt;10,"up",IF(L10&lt;-10,"down","flat")))</f>
        <v>up</v>
      </c>
    </row>
    <row r="11" customFormat="false" ht="15" hidden="false" customHeight="false" outlineLevel="0" collapsed="false">
      <c r="A11" s="27" t="s">
        <v>158</v>
      </c>
      <c r="B11" s="10" t="n">
        <v>18</v>
      </c>
      <c r="C11" s="12" t="n">
        <v>199.9</v>
      </c>
      <c r="D11" s="10" t="n">
        <v>12</v>
      </c>
      <c r="E11" s="12" t="n">
        <v>491.8</v>
      </c>
      <c r="F11" s="10" t="n">
        <v>6</v>
      </c>
      <c r="G11" s="12" t="n">
        <v>711.9</v>
      </c>
      <c r="H11" s="10" t="n">
        <v>22</v>
      </c>
      <c r="I11" s="12" t="n">
        <v>338</v>
      </c>
      <c r="J11" s="10" t="n">
        <v>9</v>
      </c>
      <c r="K11" s="12" t="n">
        <v>681.3</v>
      </c>
      <c r="L11" s="13" t="n">
        <f aca="false">IF(AND(ISNUMBER(I11),ISNUMBER(K11)),K11-I11,"")</f>
        <v>343.3</v>
      </c>
      <c r="M11" s="13" t="n">
        <f aca="false">IF(ISNUMBER(K11),K11-$K$6,"")</f>
        <v>-75.6</v>
      </c>
      <c r="N11" s="41" t="str">
        <f aca="false">IF(L11="","",IF(L11&gt;10,"up",IF(L11&lt;-10,"down","flat")))</f>
        <v>up</v>
      </c>
    </row>
    <row r="12" customFormat="false" ht="15" hidden="false" customHeight="false" outlineLevel="0" collapsed="false">
      <c r="A12" s="27" t="s">
        <v>147</v>
      </c>
      <c r="B12" s="10" t="n">
        <v>2</v>
      </c>
      <c r="C12" s="12" t="n">
        <v>837</v>
      </c>
      <c r="D12" s="10" t="n">
        <v>22</v>
      </c>
      <c r="E12" s="12" t="n">
        <v>275.2</v>
      </c>
      <c r="F12" s="10" t="n">
        <v>18</v>
      </c>
      <c r="G12" s="12" t="n">
        <v>520.7</v>
      </c>
      <c r="H12" s="10" t="n">
        <v>20</v>
      </c>
      <c r="I12" s="12" t="n">
        <v>390.6</v>
      </c>
      <c r="J12" s="10" t="n">
        <v>10</v>
      </c>
      <c r="K12" s="12" t="n">
        <v>671.3</v>
      </c>
      <c r="L12" s="13" t="n">
        <f aca="false">IF(AND(ISNUMBER(I12),ISNUMBER(K12)),K12-I12,"")</f>
        <v>280.7</v>
      </c>
      <c r="M12" s="13" t="n">
        <f aca="false">IF(ISNUMBER(K12),K12-$K$6,"")</f>
        <v>-85.6</v>
      </c>
      <c r="N12" s="41" t="str">
        <f aca="false">IF(L12="","",IF(L12&gt;10,"up",IF(L12&lt;-10,"down","flat")))</f>
        <v>up</v>
      </c>
    </row>
    <row r="13" customFormat="false" ht="15" hidden="false" customHeight="false" outlineLevel="0" collapsed="false">
      <c r="A13" s="27" t="s">
        <v>34</v>
      </c>
      <c r="B13" s="10" t="n">
        <v>6</v>
      </c>
      <c r="C13" s="12" t="n">
        <v>423.7</v>
      </c>
      <c r="D13" s="10" t="n">
        <v>1</v>
      </c>
      <c r="E13" s="12" t="n">
        <v>919.1</v>
      </c>
      <c r="F13" s="10" t="n">
        <v>16</v>
      </c>
      <c r="G13" s="12" t="n">
        <v>524.6</v>
      </c>
      <c r="H13" s="10" t="n">
        <v>44</v>
      </c>
      <c r="I13" s="12" t="n">
        <v>181.9</v>
      </c>
      <c r="J13" s="10" t="n">
        <v>11</v>
      </c>
      <c r="K13" s="12" t="n">
        <v>625.8</v>
      </c>
      <c r="L13" s="13" t="n">
        <f aca="false">IF(AND(ISNUMBER(I13),ISNUMBER(K13)),K13-I13,"")</f>
        <v>443.9</v>
      </c>
      <c r="M13" s="13" t="n">
        <f aca="false">IF(ISNUMBER(K13),K13-$K$6,"")</f>
        <v>-131.1</v>
      </c>
      <c r="N13" s="41" t="str">
        <f aca="false">IF(L13="","",IF(L13&gt;10,"up",IF(L13&lt;-10,"down","flat")))</f>
        <v>up</v>
      </c>
    </row>
    <row r="14" customFormat="false" ht="15" hidden="false" customHeight="false" outlineLevel="0" collapsed="false">
      <c r="A14" s="27" t="s">
        <v>151</v>
      </c>
      <c r="B14" s="10" t="n">
        <v>13</v>
      </c>
      <c r="C14" s="12" t="n">
        <v>249.4</v>
      </c>
      <c r="D14" s="10" t="n">
        <v>3</v>
      </c>
      <c r="E14" s="12" t="n">
        <v>734.4</v>
      </c>
      <c r="F14" s="10" t="n">
        <v>8</v>
      </c>
      <c r="G14" s="12" t="n">
        <v>687.6</v>
      </c>
      <c r="H14" s="10" t="n">
        <v>5</v>
      </c>
      <c r="I14" s="12" t="n">
        <v>753.5</v>
      </c>
      <c r="J14" s="10" t="n">
        <v>14</v>
      </c>
      <c r="K14" s="12" t="n">
        <v>562.4</v>
      </c>
      <c r="L14" s="13" t="n">
        <f aca="false">IF(AND(ISNUMBER(I14),ISNUMBER(K14)),K14-I14,"")</f>
        <v>-191.1</v>
      </c>
      <c r="M14" s="13" t="n">
        <f aca="false">IF(ISNUMBER(K14),K14-$K$6,"")</f>
        <v>-194.5</v>
      </c>
      <c r="N14" s="41" t="str">
        <f aca="false">IF(L14="","",IF(L14&gt;10,"up",IF(L14&lt;-10,"down","flat")))</f>
        <v>down</v>
      </c>
    </row>
    <row r="15" customFormat="false" ht="15" hidden="false" customHeight="false" outlineLevel="0" collapsed="false">
      <c r="A15" s="27" t="s">
        <v>149</v>
      </c>
      <c r="B15" s="10" t="n">
        <v>8</v>
      </c>
      <c r="C15" s="12" t="n">
        <v>337.4</v>
      </c>
      <c r="D15" s="10" t="n">
        <v>23</v>
      </c>
      <c r="E15" s="12" t="n">
        <v>254.8</v>
      </c>
      <c r="F15" s="10" t="n">
        <v>5</v>
      </c>
      <c r="G15" s="12" t="n">
        <v>724.3</v>
      </c>
      <c r="H15" s="10" t="n">
        <v>2</v>
      </c>
      <c r="I15" s="12" t="n">
        <v>785.2</v>
      </c>
      <c r="J15" s="10" t="n">
        <v>23</v>
      </c>
      <c r="K15" s="12" t="n">
        <v>391.5</v>
      </c>
      <c r="L15" s="13" t="n">
        <f aca="false">IF(AND(ISNUMBER(I15),ISNUMBER(K15)),K15-I15,"")</f>
        <v>-393.7</v>
      </c>
      <c r="M15" s="13" t="n">
        <f aca="false">IF(ISNUMBER(K15),K15-$K$6,"")</f>
        <v>-365.4</v>
      </c>
      <c r="N15" s="41" t="str">
        <f aca="false">IF(L15="","",IF(L15&gt;10,"up",IF(L15&lt;-10,"down","flat")))</f>
        <v>down</v>
      </c>
    </row>
    <row r="16" customFormat="false" ht="15" hidden="false" customHeight="false" outlineLevel="0" collapsed="false">
      <c r="A16" s="27" t="s">
        <v>150</v>
      </c>
      <c r="B16" s="10" t="n">
        <v>3</v>
      </c>
      <c r="C16" s="12" t="n">
        <v>661.3</v>
      </c>
      <c r="D16" s="10" t="n">
        <v>10</v>
      </c>
      <c r="E16" s="12" t="n">
        <v>545.1</v>
      </c>
      <c r="F16" s="10" t="n">
        <v>4</v>
      </c>
      <c r="G16" s="12" t="n">
        <v>751.7</v>
      </c>
      <c r="H16" s="10" t="n">
        <v>3</v>
      </c>
      <c r="I16" s="12" t="n">
        <v>772.2</v>
      </c>
      <c r="J16" s="10" t="n">
        <v>31</v>
      </c>
      <c r="K16" s="12" t="n">
        <v>274.5</v>
      </c>
      <c r="L16" s="13" t="n">
        <f aca="false">IF(AND(ISNUMBER(I16),ISNUMBER(K16)),K16-I16,"")</f>
        <v>-497.7</v>
      </c>
      <c r="M16" s="13" t="n">
        <f aca="false">IF(ISNUMBER(K16),K16-$K$6,"")</f>
        <v>-482.4</v>
      </c>
      <c r="N16" s="41" t="str">
        <f aca="false">IF(L16="","",IF(L16&gt;10,"up",IF(L16&lt;-10,"down","flat")))</f>
        <v>down</v>
      </c>
    </row>
    <row r="17" customFormat="false" ht="15" hidden="false" customHeight="false" outlineLevel="0" collapsed="false">
      <c r="A17" s="27" t="s">
        <v>33</v>
      </c>
      <c r="B17" s="10" t="n">
        <v>1</v>
      </c>
      <c r="C17" s="12" t="n">
        <v>847</v>
      </c>
      <c r="D17" s="10" t="n">
        <v>11</v>
      </c>
      <c r="E17" s="12" t="n">
        <v>494.7</v>
      </c>
      <c r="F17" s="10" t="n">
        <v>2</v>
      </c>
      <c r="G17" s="12" t="n">
        <v>757.8</v>
      </c>
      <c r="H17" s="10" t="n">
        <v>4</v>
      </c>
      <c r="I17" s="12" t="n">
        <v>756.1</v>
      </c>
      <c r="J17" s="10" t="n">
        <v>33</v>
      </c>
      <c r="K17" s="12" t="n">
        <v>273.1</v>
      </c>
      <c r="L17" s="13" t="n">
        <f aca="false">IF(AND(ISNUMBER(I17),ISNUMBER(K17)),K17-I17,"")</f>
        <v>-483</v>
      </c>
      <c r="M17" s="13" t="n">
        <f aca="false">IF(ISNUMBER(K17),K17-$K$6,"")</f>
        <v>-483.8</v>
      </c>
      <c r="N17" s="41" t="str">
        <f aca="false">IF(L17="","",IF(L17&gt;10,"up",IF(L17&lt;-10,"down","flat")))</f>
        <v>down</v>
      </c>
    </row>
    <row r="18" customFormat="false" ht="15" hidden="false" customHeight="false" outlineLevel="0" collapsed="false">
      <c r="A18" s="27" t="s">
        <v>154</v>
      </c>
      <c r="B18" s="10" t="n">
        <v>21</v>
      </c>
      <c r="C18" s="12" t="n">
        <v>181.7</v>
      </c>
      <c r="D18" s="10" t="n">
        <v>5</v>
      </c>
      <c r="E18" s="12" t="n">
        <v>716.5</v>
      </c>
      <c r="F18" s="10" t="n">
        <v>10</v>
      </c>
      <c r="G18" s="12" t="n">
        <v>682.7</v>
      </c>
      <c r="H18" s="10" t="n">
        <v>15</v>
      </c>
      <c r="I18" s="12" t="n">
        <v>490.8</v>
      </c>
      <c r="J18" s="10" t="n">
        <v>51</v>
      </c>
      <c r="K18" s="12" t="n">
        <v>211.1</v>
      </c>
      <c r="L18" s="13" t="n">
        <f aca="false">IF(AND(ISNUMBER(I18),ISNUMBER(K18)),K18-I18,"")</f>
        <v>-279.7</v>
      </c>
      <c r="M18" s="13" t="n">
        <f aca="false">IF(ISNUMBER(K18),K18-$K$6,"")</f>
        <v>-545.8</v>
      </c>
      <c r="N18" s="41" t="str">
        <f aca="false">IF(L18="","",IF(L18&gt;10,"up",IF(L18&lt;-10,"down","flat")))</f>
        <v>down</v>
      </c>
    </row>
    <row r="20" customFormat="false" ht="21.75" hidden="false" customHeight="true" outlineLevel="0" collapsed="false">
      <c r="A20" s="7" t="s">
        <v>280</v>
      </c>
      <c r="B20" s="7"/>
      <c r="C20" s="7"/>
      <c r="D20" s="7"/>
      <c r="E20" s="7"/>
      <c r="F20" s="7"/>
      <c r="G20" s="7"/>
      <c r="H20" s="7"/>
      <c r="I20" s="7"/>
      <c r="J20" s="7"/>
      <c r="K20" s="7"/>
      <c r="L20" s="7"/>
      <c r="M20" s="7"/>
      <c r="N20" s="7"/>
    </row>
    <row r="21" customFormat="false" ht="19.5" hidden="false" customHeight="true" outlineLevel="0" collapsed="false">
      <c r="A21" s="8" t="s">
        <v>145</v>
      </c>
      <c r="B21" s="8" t="s">
        <v>274</v>
      </c>
      <c r="C21" s="8" t="s">
        <v>276</v>
      </c>
      <c r="D21" s="8" t="s">
        <v>281</v>
      </c>
    </row>
    <row r="22" customFormat="false" ht="15" hidden="false" customHeight="false" outlineLevel="0" collapsed="false">
      <c r="A22" s="27" t="s">
        <v>34</v>
      </c>
      <c r="B22" s="12" t="n">
        <v>181.9</v>
      </c>
      <c r="C22" s="12" t="n">
        <v>625.8</v>
      </c>
      <c r="D22" s="13" t="n">
        <v>443.9</v>
      </c>
    </row>
    <row r="23" customFormat="false" ht="15" hidden="false" customHeight="false" outlineLevel="0" collapsed="false">
      <c r="A23" s="27" t="s">
        <v>182</v>
      </c>
      <c r="B23" s="12" t="n">
        <v>154.4</v>
      </c>
      <c r="C23" s="12" t="n">
        <v>576.1</v>
      </c>
      <c r="D23" s="13" t="n">
        <v>421.7</v>
      </c>
    </row>
    <row r="24" customFormat="false" ht="15" hidden="false" customHeight="false" outlineLevel="0" collapsed="false">
      <c r="A24" s="27" t="s">
        <v>185</v>
      </c>
      <c r="B24" s="12" t="n">
        <v>95.9</v>
      </c>
      <c r="C24" s="12" t="n">
        <v>491.6</v>
      </c>
      <c r="D24" s="13" t="n">
        <v>395.7</v>
      </c>
    </row>
    <row r="25" customFormat="false" ht="15" hidden="false" customHeight="false" outlineLevel="0" collapsed="false">
      <c r="A25" s="27" t="s">
        <v>181</v>
      </c>
      <c r="B25" s="12" t="n">
        <v>235.3</v>
      </c>
      <c r="C25" s="12" t="n">
        <v>609.7</v>
      </c>
      <c r="D25" s="13" t="n">
        <v>374.4</v>
      </c>
    </row>
    <row r="26" customFormat="false" ht="15" hidden="false" customHeight="false" outlineLevel="0" collapsed="false">
      <c r="A26" s="27" t="s">
        <v>158</v>
      </c>
      <c r="B26" s="12" t="n">
        <v>338</v>
      </c>
      <c r="C26" s="12" t="n">
        <v>681.3</v>
      </c>
      <c r="D26" s="13" t="n">
        <v>343.3</v>
      </c>
    </row>
    <row r="27" customFormat="false" ht="15" hidden="false" customHeight="false" outlineLevel="0" collapsed="false">
      <c r="A27" s="27" t="s">
        <v>186</v>
      </c>
      <c r="B27" s="12" t="n">
        <v>194.4</v>
      </c>
      <c r="C27" s="12" t="n">
        <v>475.1</v>
      </c>
      <c r="D27" s="13" t="n">
        <v>280.7</v>
      </c>
    </row>
    <row r="28" customFormat="false" ht="15" hidden="false" customHeight="false" outlineLevel="0" collapsed="false">
      <c r="A28" s="27" t="s">
        <v>147</v>
      </c>
      <c r="B28" s="12" t="n">
        <v>390.6</v>
      </c>
      <c r="C28" s="12" t="n">
        <v>671.3</v>
      </c>
      <c r="D28" s="13" t="n">
        <v>280.7</v>
      </c>
    </row>
    <row r="29" customFormat="false" ht="15" hidden="false" customHeight="false" outlineLevel="0" collapsed="false">
      <c r="A29" s="27" t="s">
        <v>183</v>
      </c>
      <c r="B29" s="12" t="n">
        <v>252.4</v>
      </c>
      <c r="C29" s="12" t="n">
        <v>527.8</v>
      </c>
      <c r="D29" s="13" t="n">
        <v>275.4</v>
      </c>
    </row>
    <row r="30" customFormat="false" ht="15" hidden="false" customHeight="false" outlineLevel="0" collapsed="false">
      <c r="A30" s="27" t="s">
        <v>149</v>
      </c>
      <c r="B30" s="12" t="n">
        <v>785.2</v>
      </c>
      <c r="C30" s="12" t="n">
        <v>391.5</v>
      </c>
      <c r="D30" s="13" t="n">
        <v>-393.7</v>
      </c>
    </row>
    <row r="31" customFormat="false" ht="15" hidden="false" customHeight="false" outlineLevel="0" collapsed="false">
      <c r="A31" s="27" t="s">
        <v>170</v>
      </c>
      <c r="B31" s="12" t="n">
        <v>593</v>
      </c>
      <c r="C31" s="12" t="n">
        <v>192.3</v>
      </c>
      <c r="D31" s="13" t="n">
        <v>-400.7</v>
      </c>
    </row>
    <row r="32" customFormat="false" ht="15" hidden="false" customHeight="false" outlineLevel="0" collapsed="false">
      <c r="A32" s="27" t="s">
        <v>162</v>
      </c>
      <c r="B32" s="12" t="n">
        <v>708.6</v>
      </c>
      <c r="C32" s="12" t="n">
        <v>235</v>
      </c>
      <c r="D32" s="13" t="n">
        <v>-473.6</v>
      </c>
    </row>
    <row r="33" customFormat="false" ht="15" hidden="false" customHeight="false" outlineLevel="0" collapsed="false">
      <c r="A33" s="27" t="s">
        <v>33</v>
      </c>
      <c r="B33" s="12" t="n">
        <v>756.1</v>
      </c>
      <c r="C33" s="12" t="n">
        <v>273.1</v>
      </c>
      <c r="D33" s="13" t="n">
        <v>-483</v>
      </c>
    </row>
    <row r="34" customFormat="false" ht="15" hidden="false" customHeight="false" outlineLevel="0" collapsed="false">
      <c r="A34" s="27" t="s">
        <v>150</v>
      </c>
      <c r="B34" s="12" t="n">
        <v>772.2</v>
      </c>
      <c r="C34" s="12" t="n">
        <v>274.5</v>
      </c>
      <c r="D34" s="13" t="n">
        <v>-497.7</v>
      </c>
    </row>
    <row r="35" customFormat="false" ht="19.5" hidden="false" customHeight="true" outlineLevel="0" collapsed="false">
      <c r="A35" s="24" t="s">
        <v>282</v>
      </c>
      <c r="B35" s="24"/>
      <c r="C35" s="24"/>
      <c r="D35" s="24"/>
      <c r="E35" s="24"/>
      <c r="F35" s="24"/>
      <c r="G35" s="24"/>
      <c r="H35" s="24"/>
      <c r="I35" s="24"/>
      <c r="J35" s="24"/>
      <c r="K35" s="24"/>
      <c r="L35" s="24"/>
      <c r="M35" s="24"/>
      <c r="N35" s="24"/>
    </row>
  </sheetData>
  <mergeCells count="5">
    <mergeCell ref="A1:N1"/>
    <mergeCell ref="A2:N2"/>
    <mergeCell ref="A4:N4"/>
    <mergeCell ref="A20:N20"/>
    <mergeCell ref="A35:N35"/>
  </mergeCells>
  <conditionalFormatting sqref="N6:N18">
    <cfRule type="cellIs" priority="2" operator="equal" aboveAverage="0" equalAverage="0" bottom="0" percent="0" rank="0" text="" dxfId="1">
      <formula>"up"</formula>
    </cfRule>
    <cfRule type="cellIs" priority="3" operator="equal" aboveAverage="0" equalAverage="0" bottom="0" percent="0" rank="0" text="" dxfId="2">
      <formula>"down"</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14213D"/>
    <pageSetUpPr fitToPage="tru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26"/>
    <col collapsed="false" customWidth="true" hidden="false" outlineLevel="0" max="9" min="2" style="0" width="11.99"/>
  </cols>
  <sheetData>
    <row r="1" customFormat="false" ht="33.75" hidden="false" customHeight="true" outlineLevel="0" collapsed="false">
      <c r="A1" s="1" t="s">
        <v>283</v>
      </c>
      <c r="B1" s="1"/>
      <c r="C1" s="1"/>
      <c r="D1" s="1"/>
      <c r="E1" s="1"/>
      <c r="F1" s="1"/>
      <c r="G1" s="1"/>
      <c r="H1" s="1"/>
      <c r="I1" s="1"/>
    </row>
    <row r="2" customFormat="false" ht="24" hidden="false" customHeight="true" outlineLevel="0" collapsed="false">
      <c r="A2" s="2" t="s">
        <v>284</v>
      </c>
      <c r="B2" s="2"/>
      <c r="C2" s="2"/>
      <c r="D2" s="2"/>
      <c r="E2" s="2"/>
      <c r="F2" s="2"/>
      <c r="G2" s="2"/>
      <c r="H2" s="2"/>
      <c r="I2" s="2"/>
    </row>
    <row r="4" customFormat="false" ht="21.75" hidden="false" customHeight="true" outlineLevel="0" collapsed="false">
      <c r="A4" s="7" t="s">
        <v>285</v>
      </c>
      <c r="B4" s="7"/>
      <c r="C4" s="7"/>
      <c r="D4" s="7"/>
      <c r="E4" s="7"/>
      <c r="F4" s="7"/>
      <c r="G4" s="7"/>
      <c r="H4" s="7"/>
      <c r="I4" s="7"/>
    </row>
    <row r="5" customFormat="false" ht="24" hidden="false" customHeight="true" outlineLevel="0" collapsed="false">
      <c r="A5" s="8" t="s">
        <v>286</v>
      </c>
      <c r="B5" s="8" t="s">
        <v>42</v>
      </c>
      <c r="C5" s="8" t="s">
        <v>43</v>
      </c>
      <c r="D5" s="8" t="s">
        <v>44</v>
      </c>
      <c r="E5" s="8" t="s">
        <v>45</v>
      </c>
      <c r="F5" s="8" t="s">
        <v>287</v>
      </c>
      <c r="G5" s="8" t="s">
        <v>288</v>
      </c>
    </row>
    <row r="6" customFormat="false" ht="15" hidden="false" customHeight="false" outlineLevel="0" collapsed="false">
      <c r="A6" s="30" t="s">
        <v>289</v>
      </c>
      <c r="B6" s="42" t="n">
        <v>-0.15</v>
      </c>
      <c r="C6" s="42" t="n">
        <v>-0.39</v>
      </c>
      <c r="D6" s="42" t="n">
        <v>-0.45</v>
      </c>
      <c r="E6" s="42" t="n">
        <v>-0.15</v>
      </c>
      <c r="F6" s="43" t="n">
        <v>-0.26</v>
      </c>
      <c r="G6" s="11" t="n">
        <v>285</v>
      </c>
    </row>
    <row r="7" customFormat="false" ht="15" hidden="false" customHeight="false" outlineLevel="0" collapsed="false">
      <c r="A7" s="30" t="s">
        <v>290</v>
      </c>
      <c r="B7" s="42" t="n">
        <v>0.26</v>
      </c>
      <c r="C7" s="42" t="n">
        <v>-0.04</v>
      </c>
      <c r="D7" s="42" t="n">
        <v>-0.03</v>
      </c>
      <c r="E7" s="42" t="n">
        <v>0.29</v>
      </c>
      <c r="F7" s="43" t="n">
        <v>0.14</v>
      </c>
      <c r="G7" s="11" t="n">
        <v>287</v>
      </c>
    </row>
    <row r="8" customFormat="false" ht="15" hidden="false" customHeight="false" outlineLevel="0" collapsed="false">
      <c r="A8" s="30" t="s">
        <v>291</v>
      </c>
      <c r="B8" s="42" t="n">
        <v>0.47</v>
      </c>
      <c r="C8" s="42" t="n">
        <v>0.36</v>
      </c>
      <c r="D8" s="42" t="n">
        <v>0.31</v>
      </c>
      <c r="E8" s="42" t="n">
        <v>0.5</v>
      </c>
      <c r="F8" s="43" t="n">
        <v>0.41</v>
      </c>
      <c r="G8" s="11" t="n">
        <v>288</v>
      </c>
    </row>
    <row r="9" customFormat="false" ht="31.5" hidden="false" customHeight="true" outlineLevel="0" collapsed="false">
      <c r="A9" s="28" t="s">
        <v>292</v>
      </c>
      <c r="B9" s="28"/>
      <c r="C9" s="28"/>
      <c r="D9" s="28"/>
      <c r="E9" s="28"/>
      <c r="F9" s="28"/>
      <c r="G9" s="28"/>
      <c r="H9" s="28"/>
      <c r="I9" s="28"/>
    </row>
    <row r="11" customFormat="false" ht="21.75" hidden="false" customHeight="true" outlineLevel="0" collapsed="false">
      <c r="A11" s="7" t="s">
        <v>293</v>
      </c>
      <c r="B11" s="7"/>
      <c r="C11" s="7"/>
      <c r="D11" s="7"/>
      <c r="E11" s="7"/>
      <c r="F11" s="7"/>
      <c r="G11" s="7"/>
      <c r="H11" s="7"/>
      <c r="I11" s="7"/>
    </row>
    <row r="12" customFormat="false" ht="24" hidden="false" customHeight="true" outlineLevel="0" collapsed="false">
      <c r="A12" s="8" t="s">
        <v>291</v>
      </c>
      <c r="B12" s="8" t="s">
        <v>127</v>
      </c>
      <c r="C12" s="8" t="s">
        <v>128</v>
      </c>
      <c r="D12" s="8" t="s">
        <v>129</v>
      </c>
      <c r="E12" s="8" t="s">
        <v>130</v>
      </c>
      <c r="F12" s="8" t="s">
        <v>294</v>
      </c>
      <c r="G12" s="8" t="s">
        <v>288</v>
      </c>
      <c r="H12" s="8" t="s">
        <v>295</v>
      </c>
    </row>
    <row r="13" customFormat="false" ht="15" hidden="false" customHeight="false" outlineLevel="0" collapsed="false">
      <c r="A13" s="30" t="s">
        <v>296</v>
      </c>
      <c r="B13" s="12" t="n">
        <v>239.4</v>
      </c>
      <c r="C13" s="12" t="n">
        <v>307.5</v>
      </c>
      <c r="D13" s="12" t="n">
        <v>251.6</v>
      </c>
      <c r="E13" s="12" t="n">
        <v>238.8</v>
      </c>
      <c r="F13" s="44" t="n">
        <v>258.6</v>
      </c>
      <c r="G13" s="11" t="n">
        <v>213</v>
      </c>
      <c r="H13" s="12" t="n">
        <v>785.2</v>
      </c>
    </row>
    <row r="14" customFormat="false" ht="15" hidden="false" customHeight="false" outlineLevel="0" collapsed="false">
      <c r="A14" s="30" t="s">
        <v>297</v>
      </c>
      <c r="B14" s="12" t="n">
        <v>201.6</v>
      </c>
      <c r="C14" s="12" t="n">
        <v>198.2</v>
      </c>
      <c r="D14" s="12" t="n">
        <v>312.2</v>
      </c>
      <c r="E14" s="12"/>
      <c r="F14" s="44" t="n">
        <v>234.2</v>
      </c>
      <c r="G14" s="11" t="n">
        <v>15</v>
      </c>
      <c r="H14" s="12" t="n">
        <v>593</v>
      </c>
    </row>
    <row r="15" customFormat="false" ht="15" hidden="false" customHeight="false" outlineLevel="0" collapsed="false">
      <c r="A15" s="30" t="s">
        <v>298</v>
      </c>
      <c r="B15" s="12"/>
      <c r="C15" s="12"/>
      <c r="D15" s="12"/>
      <c r="E15" s="12"/>
      <c r="F15" s="44" t="n">
        <v>267.2</v>
      </c>
      <c r="G15" s="11" t="n">
        <v>2</v>
      </c>
      <c r="H15" s="12" t="n">
        <v>394.3</v>
      </c>
    </row>
    <row r="16" customFormat="false" ht="15" hidden="false" customHeight="false" outlineLevel="0" collapsed="false">
      <c r="A16" s="30" t="s">
        <v>299</v>
      </c>
      <c r="B16" s="12" t="n">
        <v>508.7</v>
      </c>
      <c r="C16" s="12" t="n">
        <v>536.7</v>
      </c>
      <c r="D16" s="12" t="n">
        <v>424.2</v>
      </c>
      <c r="E16" s="12" t="n">
        <v>484.9</v>
      </c>
      <c r="F16" s="44" t="n">
        <v>483.2</v>
      </c>
      <c r="G16" s="11" t="n">
        <v>58</v>
      </c>
      <c r="H16" s="12" t="n">
        <v>919.1</v>
      </c>
    </row>
    <row r="17" customFormat="false" ht="18" hidden="false" customHeight="true" outlineLevel="0" collapsed="false">
      <c r="A17" s="28" t="s">
        <v>300</v>
      </c>
      <c r="B17" s="28"/>
      <c r="C17" s="28"/>
      <c r="D17" s="28"/>
      <c r="E17" s="28"/>
      <c r="F17" s="28"/>
      <c r="G17" s="28"/>
      <c r="H17" s="28"/>
      <c r="I17" s="28"/>
    </row>
    <row r="19" customFormat="false" ht="21.75" hidden="false" customHeight="true" outlineLevel="0" collapsed="false">
      <c r="A19" s="7" t="s">
        <v>301</v>
      </c>
      <c r="B19" s="7"/>
      <c r="C19" s="7"/>
      <c r="D19" s="7"/>
      <c r="E19" s="7"/>
      <c r="F19" s="7"/>
      <c r="G19" s="7"/>
      <c r="H19" s="7"/>
      <c r="I19" s="7"/>
    </row>
    <row r="20" customFormat="false" ht="24" hidden="false" customHeight="true" outlineLevel="0" collapsed="false">
      <c r="A20" s="8" t="s">
        <v>302</v>
      </c>
      <c r="B20" s="8" t="s">
        <v>127</v>
      </c>
      <c r="C20" s="8" t="s">
        <v>128</v>
      </c>
      <c r="D20" s="8" t="s">
        <v>129</v>
      </c>
      <c r="E20" s="8" t="s">
        <v>130</v>
      </c>
      <c r="F20" s="8" t="s">
        <v>294</v>
      </c>
      <c r="G20" s="8" t="s">
        <v>288</v>
      </c>
      <c r="H20" s="8" t="s">
        <v>295</v>
      </c>
    </row>
    <row r="21" customFormat="false" ht="15" hidden="false" customHeight="false" outlineLevel="0" collapsed="false">
      <c r="A21" s="30" t="s">
        <v>303</v>
      </c>
      <c r="B21" s="12" t="n">
        <v>281.8</v>
      </c>
      <c r="C21" s="12" t="n">
        <v>363.9</v>
      </c>
      <c r="D21" s="12" t="n">
        <v>290.1</v>
      </c>
      <c r="E21" s="12" t="n">
        <v>360.8</v>
      </c>
      <c r="F21" s="44" t="n">
        <v>334.5</v>
      </c>
      <c r="G21" s="11" t="n">
        <v>31</v>
      </c>
      <c r="H21" s="12" t="n">
        <v>919.1</v>
      </c>
    </row>
    <row r="22" customFormat="false" ht="15" hidden="false" customHeight="false" outlineLevel="0" collapsed="false">
      <c r="A22" s="30" t="s">
        <v>304</v>
      </c>
      <c r="B22" s="12" t="n">
        <v>291.5</v>
      </c>
      <c r="C22" s="12" t="n">
        <v>414.4</v>
      </c>
      <c r="D22" s="12" t="n">
        <v>481.4</v>
      </c>
      <c r="E22" s="12" t="n">
        <v>297.9</v>
      </c>
      <c r="F22" s="44" t="n">
        <v>341.8</v>
      </c>
      <c r="G22" s="11" t="n">
        <v>33</v>
      </c>
      <c r="H22" s="12" t="n">
        <v>772.2</v>
      </c>
    </row>
    <row r="23" customFormat="false" ht="15" hidden="false" customHeight="false" outlineLevel="0" collapsed="false">
      <c r="A23" s="30" t="s">
        <v>305</v>
      </c>
      <c r="B23" s="12" t="n">
        <v>411.4</v>
      </c>
      <c r="C23" s="12" t="n">
        <v>573.2</v>
      </c>
      <c r="D23" s="12" t="n">
        <v>499.4</v>
      </c>
      <c r="E23" s="12" t="n">
        <v>318.6</v>
      </c>
      <c r="F23" s="44" t="n">
        <v>418.3</v>
      </c>
      <c r="G23" s="11" t="n">
        <v>51</v>
      </c>
      <c r="H23" s="12" t="n">
        <v>895.5</v>
      </c>
    </row>
    <row r="24" customFormat="false" ht="15" hidden="false" customHeight="false" outlineLevel="0" collapsed="false">
      <c r="A24" s="30" t="s">
        <v>306</v>
      </c>
      <c r="B24" s="12" t="n">
        <v>445.7</v>
      </c>
      <c r="C24" s="12" t="n">
        <v>343.3</v>
      </c>
      <c r="D24" s="12" t="n">
        <v>303.1</v>
      </c>
      <c r="E24" s="12" t="n">
        <v>292.6</v>
      </c>
      <c r="F24" s="44" t="n">
        <v>325.2</v>
      </c>
      <c r="G24" s="11" t="n">
        <v>47</v>
      </c>
      <c r="H24" s="12" t="n">
        <v>762.4</v>
      </c>
    </row>
    <row r="25" customFormat="false" ht="15" hidden="false" customHeight="false" outlineLevel="0" collapsed="false">
      <c r="A25" s="30" t="s">
        <v>307</v>
      </c>
      <c r="B25" s="12" t="n">
        <v>199.8</v>
      </c>
      <c r="C25" s="12" t="n">
        <v>229.7</v>
      </c>
      <c r="D25" s="12" t="n">
        <v>255.9</v>
      </c>
      <c r="E25" s="12" t="n">
        <v>333.7</v>
      </c>
      <c r="F25" s="44" t="n">
        <v>251.2</v>
      </c>
      <c r="G25" s="11" t="n">
        <v>65</v>
      </c>
      <c r="H25" s="12" t="n">
        <v>790.4</v>
      </c>
    </row>
    <row r="26" customFormat="false" ht="15" hidden="false" customHeight="false" outlineLevel="0" collapsed="false">
      <c r="A26" s="30" t="s">
        <v>308</v>
      </c>
      <c r="B26" s="12" t="n">
        <v>217.9</v>
      </c>
      <c r="C26" s="12" t="n">
        <v>256.2</v>
      </c>
      <c r="D26" s="12" t="n">
        <v>174.9</v>
      </c>
      <c r="E26" s="12" t="n">
        <v>168.7</v>
      </c>
      <c r="F26" s="44" t="n">
        <v>215</v>
      </c>
      <c r="G26" s="11" t="n">
        <v>58</v>
      </c>
      <c r="H26" s="12" t="n">
        <v>716.5</v>
      </c>
    </row>
    <row r="28" customFormat="false" ht="21.75" hidden="false" customHeight="true" outlineLevel="0" collapsed="false">
      <c r="A28" s="7" t="s">
        <v>309</v>
      </c>
      <c r="B28" s="7"/>
      <c r="C28" s="7"/>
      <c r="D28" s="7"/>
      <c r="E28" s="7"/>
      <c r="F28" s="7"/>
      <c r="G28" s="7"/>
      <c r="H28" s="7"/>
      <c r="I28" s="7"/>
    </row>
    <row r="29" customFormat="false" ht="24" hidden="false" customHeight="true" outlineLevel="0" collapsed="false">
      <c r="A29" s="8" t="s">
        <v>310</v>
      </c>
      <c r="B29" s="8" t="s">
        <v>127</v>
      </c>
      <c r="C29" s="8" t="s">
        <v>128</v>
      </c>
      <c r="D29" s="8" t="s">
        <v>129</v>
      </c>
      <c r="E29" s="8" t="s">
        <v>130</v>
      </c>
      <c r="F29" s="8" t="s">
        <v>294</v>
      </c>
      <c r="G29" s="8" t="s">
        <v>288</v>
      </c>
      <c r="H29" s="8" t="s">
        <v>295</v>
      </c>
    </row>
    <row r="30" customFormat="false" ht="15" hidden="false" customHeight="false" outlineLevel="0" collapsed="false">
      <c r="A30" s="30" t="s">
        <v>311</v>
      </c>
      <c r="B30" s="12" t="n">
        <v>266.6</v>
      </c>
      <c r="C30" s="12" t="n">
        <v>377.4</v>
      </c>
      <c r="D30" s="12" t="n">
        <v>318.2</v>
      </c>
      <c r="E30" s="12" t="n">
        <v>208</v>
      </c>
      <c r="F30" s="44" t="n">
        <v>294.4</v>
      </c>
      <c r="G30" s="11" t="n">
        <v>93</v>
      </c>
      <c r="H30" s="12" t="n">
        <v>790.4</v>
      </c>
    </row>
    <row r="31" customFormat="false" ht="15" hidden="false" customHeight="false" outlineLevel="0" collapsed="false">
      <c r="A31" s="30" t="s">
        <v>312</v>
      </c>
      <c r="B31" s="12" t="n">
        <v>214.6</v>
      </c>
      <c r="C31" s="12" t="n">
        <v>312.8</v>
      </c>
      <c r="D31" s="12" t="n">
        <v>263.5</v>
      </c>
      <c r="E31" s="12" t="n">
        <v>275.4</v>
      </c>
      <c r="F31" s="44" t="n">
        <v>269.3</v>
      </c>
      <c r="G31" s="11" t="n">
        <v>89</v>
      </c>
      <c r="H31" s="12" t="n">
        <v>807.2</v>
      </c>
    </row>
    <row r="32" customFormat="false" ht="15" hidden="false" customHeight="false" outlineLevel="0" collapsed="false">
      <c r="A32" s="30" t="s">
        <v>313</v>
      </c>
      <c r="B32" s="12" t="n">
        <v>373</v>
      </c>
      <c r="C32" s="12" t="n">
        <v>300.5</v>
      </c>
      <c r="D32" s="12" t="n">
        <v>259</v>
      </c>
      <c r="E32" s="12" t="n">
        <v>342.8</v>
      </c>
      <c r="F32" s="44" t="n">
        <v>317.4</v>
      </c>
      <c r="G32" s="11" t="n">
        <v>70</v>
      </c>
      <c r="H32" s="12" t="n">
        <v>895.5</v>
      </c>
    </row>
    <row r="33" customFormat="false" ht="15" hidden="false" customHeight="false" outlineLevel="0" collapsed="false">
      <c r="A33" s="30" t="s">
        <v>314</v>
      </c>
      <c r="B33" s="12" t="n">
        <v>385.7</v>
      </c>
      <c r="C33" s="12" t="n">
        <v>405.5</v>
      </c>
      <c r="D33" s="12" t="n">
        <v>305.4</v>
      </c>
      <c r="E33" s="12" t="n">
        <v>387</v>
      </c>
      <c r="F33" s="44" t="n">
        <v>382.1</v>
      </c>
      <c r="G33" s="11" t="n">
        <v>35</v>
      </c>
      <c r="H33" s="12" t="n">
        <v>919.1</v>
      </c>
    </row>
    <row r="35" customFormat="false" ht="21.75" hidden="false" customHeight="true" outlineLevel="0" collapsed="false">
      <c r="A35" s="7" t="s">
        <v>315</v>
      </c>
      <c r="B35" s="7"/>
      <c r="C35" s="7"/>
      <c r="D35" s="7"/>
      <c r="E35" s="7"/>
      <c r="F35" s="7"/>
      <c r="G35" s="7"/>
      <c r="H35" s="7"/>
      <c r="I35" s="7"/>
    </row>
    <row r="36" customFormat="false" ht="33.75" hidden="false" customHeight="true" outlineLevel="0" collapsed="false">
      <c r="A36" s="8" t="s">
        <v>7</v>
      </c>
      <c r="B36" s="8" t="s">
        <v>291</v>
      </c>
      <c r="C36" s="8" t="s">
        <v>290</v>
      </c>
      <c r="D36" s="8" t="s">
        <v>289</v>
      </c>
      <c r="E36" s="8" t="s">
        <v>316</v>
      </c>
      <c r="F36" s="8" t="s">
        <v>317</v>
      </c>
      <c r="G36" s="8" t="s">
        <v>8</v>
      </c>
      <c r="H36" s="8" t="s">
        <v>146</v>
      </c>
    </row>
    <row r="37" customFormat="false" ht="15" hidden="false" customHeight="false" outlineLevel="0" collapsed="false">
      <c r="A37" s="9" t="n">
        <v>2023</v>
      </c>
      <c r="B37" s="11" t="n">
        <v>4</v>
      </c>
      <c r="C37" s="11" t="n">
        <v>600</v>
      </c>
      <c r="D37" s="12" t="n">
        <v>218.2</v>
      </c>
      <c r="E37" s="11" t="n">
        <v>28</v>
      </c>
      <c r="F37" s="11" t="n">
        <v>61</v>
      </c>
      <c r="G37" s="10" t="n">
        <v>2</v>
      </c>
      <c r="H37" s="12" t="n">
        <v>762.4</v>
      </c>
    </row>
    <row r="38" customFormat="false" ht="15" hidden="false" customHeight="false" outlineLevel="0" collapsed="false">
      <c r="A38" s="9" t="n">
        <v>2024</v>
      </c>
      <c r="B38" s="11" t="n">
        <v>4</v>
      </c>
      <c r="C38" s="11" t="n">
        <v>600</v>
      </c>
      <c r="D38" s="12" t="n">
        <v>264</v>
      </c>
      <c r="E38" s="11" t="n">
        <v>60</v>
      </c>
      <c r="F38" s="11" t="n">
        <v>66</v>
      </c>
      <c r="G38" s="10" t="n">
        <v>14</v>
      </c>
      <c r="H38" s="12" t="n">
        <v>589.9</v>
      </c>
    </row>
    <row r="39" customFormat="false" ht="15" hidden="false" customHeight="false" outlineLevel="0" collapsed="false">
      <c r="A39" s="9" t="n">
        <v>2025</v>
      </c>
      <c r="B39" s="11" t="n">
        <v>4</v>
      </c>
      <c r="C39" s="11" t="n">
        <v>350</v>
      </c>
      <c r="D39" s="12" t="n">
        <v>210</v>
      </c>
      <c r="E39" s="11" t="n">
        <v>18</v>
      </c>
      <c r="F39" s="11" t="n">
        <v>74</v>
      </c>
      <c r="G39" s="10" t="n">
        <v>13</v>
      </c>
      <c r="H39" s="12" t="n">
        <v>518</v>
      </c>
    </row>
    <row r="40" customFormat="false" ht="15" hidden="false" customHeight="false" outlineLevel="0" collapsed="false">
      <c r="A40" s="9" t="n">
        <v>2026</v>
      </c>
      <c r="B40" s="11" t="n">
        <v>4</v>
      </c>
      <c r="C40" s="11" t="n">
        <v>600</v>
      </c>
      <c r="D40" s="12" t="n">
        <v>191.4</v>
      </c>
      <c r="E40" s="11" t="n">
        <v>16</v>
      </c>
      <c r="F40" s="11" t="n">
        <v>84</v>
      </c>
      <c r="G40" s="10" t="n">
        <v>4</v>
      </c>
      <c r="H40" s="12" t="n">
        <v>756.9</v>
      </c>
    </row>
    <row r="41" customFormat="false" ht="31.5" hidden="false" customHeight="true" outlineLevel="0" collapsed="false">
      <c r="A41" s="28" t="s">
        <v>318</v>
      </c>
      <c r="B41" s="28"/>
      <c r="C41" s="28"/>
      <c r="D41" s="28"/>
      <c r="E41" s="28"/>
      <c r="F41" s="28"/>
      <c r="G41" s="28"/>
      <c r="H41" s="28"/>
      <c r="I41" s="28"/>
    </row>
  </sheetData>
  <mergeCells count="10">
    <mergeCell ref="A1:I1"/>
    <mergeCell ref="A2:I2"/>
    <mergeCell ref="A4:I4"/>
    <mergeCell ref="A9:I9"/>
    <mergeCell ref="A11:I11"/>
    <mergeCell ref="A17:I17"/>
    <mergeCell ref="A19:I19"/>
    <mergeCell ref="A28:I28"/>
    <mergeCell ref="A35:I35"/>
    <mergeCell ref="A41:I41"/>
  </mergeCells>
  <conditionalFormatting sqref="B6:F8">
    <cfRule type="colorScale" priority="2">
      <colorScale>
        <cfvo type="num" val="-0.6"/>
        <cfvo type="num" val="0"/>
        <cfvo type="num" val="0.6"/>
        <color rgb="FFF8696B"/>
        <color rgb="FFFFFFFF"/>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6B7280"/>
    <pageSetUpPr fitToPage="true"/>
  </sheetPr>
  <dimension ref="A1:J29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4" min="3" style="0" width="7"/>
    <col collapsed="false" customWidth="true" hidden="false" outlineLevel="0" max="5" min="5" style="0" width="9"/>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9" min="9" style="0" width="10.99"/>
    <col collapsed="false" customWidth="true" hidden="false" outlineLevel="0" max="10" min="10" style="0" width="26"/>
  </cols>
  <sheetData>
    <row r="1" customFormat="false" ht="33.75" hidden="false" customHeight="true" outlineLevel="0" collapsed="false">
      <c r="A1" s="1" t="s">
        <v>319</v>
      </c>
      <c r="B1" s="1"/>
      <c r="C1" s="1"/>
      <c r="D1" s="1"/>
      <c r="E1" s="1"/>
      <c r="F1" s="1"/>
      <c r="G1" s="1"/>
      <c r="H1" s="1"/>
      <c r="I1" s="1"/>
      <c r="J1" s="1"/>
    </row>
    <row r="2" customFormat="false" ht="24" hidden="false" customHeight="true" outlineLevel="0" collapsed="false">
      <c r="A2" s="2" t="s">
        <v>320</v>
      </c>
      <c r="B2" s="2"/>
      <c r="C2" s="2"/>
      <c r="D2" s="2"/>
      <c r="E2" s="2"/>
      <c r="F2" s="2"/>
      <c r="G2" s="2"/>
      <c r="H2" s="2"/>
      <c r="I2" s="2"/>
      <c r="J2" s="2"/>
    </row>
    <row r="4" customFormat="false" ht="30" hidden="false" customHeight="true" outlineLevel="0" collapsed="false">
      <c r="A4" s="8" t="s">
        <v>7</v>
      </c>
      <c r="B4" s="8" t="s">
        <v>145</v>
      </c>
      <c r="C4" s="8" t="s">
        <v>173</v>
      </c>
      <c r="D4" s="8" t="s">
        <v>291</v>
      </c>
      <c r="E4" s="8" t="s">
        <v>290</v>
      </c>
      <c r="F4" s="8" t="s">
        <v>289</v>
      </c>
      <c r="G4" s="8" t="s">
        <v>8</v>
      </c>
      <c r="H4" s="8" t="s">
        <v>146</v>
      </c>
      <c r="I4" s="8" t="s">
        <v>321</v>
      </c>
      <c r="J4" s="8" t="s">
        <v>322</v>
      </c>
    </row>
    <row r="5" customFormat="false" ht="15" hidden="false" customHeight="false" outlineLevel="0" collapsed="false">
      <c r="A5" s="31" t="n">
        <v>2023</v>
      </c>
      <c r="B5" s="27" t="s">
        <v>34</v>
      </c>
      <c r="C5" s="31" t="n">
        <v>233</v>
      </c>
      <c r="D5" s="31" t="n">
        <v>4</v>
      </c>
      <c r="E5" s="31" t="n">
        <v>600</v>
      </c>
      <c r="F5" s="31" t="n">
        <v>179.2</v>
      </c>
      <c r="G5" s="31" t="n">
        <v>1</v>
      </c>
      <c r="H5" s="31" t="n">
        <v>919.1</v>
      </c>
      <c r="I5" s="27" t="s">
        <v>323</v>
      </c>
      <c r="J5" s="27"/>
    </row>
    <row r="6" customFormat="false" ht="15" hidden="false" customHeight="false" outlineLevel="0" collapsed="false">
      <c r="A6" s="16" t="n">
        <v>2023</v>
      </c>
      <c r="B6" s="36" t="s">
        <v>148</v>
      </c>
      <c r="C6" s="16" t="n">
        <v>283</v>
      </c>
      <c r="D6" s="16" t="n">
        <v>4</v>
      </c>
      <c r="E6" s="16" t="n">
        <v>600</v>
      </c>
      <c r="F6" s="16" t="n">
        <v>218.2</v>
      </c>
      <c r="G6" s="16" t="n">
        <v>2</v>
      </c>
      <c r="H6" s="16" t="n">
        <v>762.4</v>
      </c>
      <c r="I6" s="36" t="s">
        <v>323</v>
      </c>
      <c r="J6" s="36" t="s">
        <v>105</v>
      </c>
    </row>
    <row r="7" customFormat="false" ht="15" hidden="false" customHeight="false" outlineLevel="0" collapsed="false">
      <c r="A7" s="31" t="n">
        <v>2023</v>
      </c>
      <c r="B7" s="27" t="s">
        <v>151</v>
      </c>
      <c r="C7" s="31" t="n">
        <v>267</v>
      </c>
      <c r="D7" s="31" t="n">
        <v>4</v>
      </c>
      <c r="E7" s="31" t="n">
        <v>550</v>
      </c>
      <c r="F7" s="31" t="n">
        <v>215</v>
      </c>
      <c r="G7" s="31" t="n">
        <v>3</v>
      </c>
      <c r="H7" s="31" t="n">
        <v>734.4</v>
      </c>
      <c r="I7" s="27" t="s">
        <v>323</v>
      </c>
      <c r="J7" s="27"/>
    </row>
    <row r="8" customFormat="false" ht="15" hidden="false" customHeight="false" outlineLevel="0" collapsed="false">
      <c r="A8" s="31" t="n">
        <v>2023</v>
      </c>
      <c r="B8" s="27" t="s">
        <v>35</v>
      </c>
      <c r="C8" s="31" t="n">
        <v>266</v>
      </c>
      <c r="D8" s="31" t="n">
        <v>1</v>
      </c>
      <c r="E8" s="31" t="n">
        <v>380</v>
      </c>
      <c r="F8" s="31" t="n">
        <v>202.3</v>
      </c>
      <c r="G8" s="31" t="n">
        <v>4</v>
      </c>
      <c r="H8" s="31" t="n">
        <v>728.3</v>
      </c>
      <c r="I8" s="27" t="s">
        <v>323</v>
      </c>
      <c r="J8" s="27"/>
    </row>
    <row r="9" customFormat="false" ht="15" hidden="false" customHeight="false" outlineLevel="0" collapsed="false">
      <c r="A9" s="31" t="n">
        <v>2023</v>
      </c>
      <c r="B9" s="27" t="s">
        <v>154</v>
      </c>
      <c r="C9" s="31" t="n">
        <v>217</v>
      </c>
      <c r="D9" s="31" t="n">
        <v>1</v>
      </c>
      <c r="E9" s="31" t="n">
        <v>525</v>
      </c>
      <c r="F9" s="31" t="n">
        <v>259</v>
      </c>
      <c r="G9" s="31" t="n">
        <v>5</v>
      </c>
      <c r="H9" s="31" t="n">
        <v>716.5</v>
      </c>
      <c r="I9" s="27" t="s">
        <v>323</v>
      </c>
      <c r="J9" s="27"/>
    </row>
    <row r="10" customFormat="false" ht="15" hidden="false" customHeight="false" outlineLevel="0" collapsed="false">
      <c r="A10" s="31" t="n">
        <v>2023</v>
      </c>
      <c r="B10" s="27" t="s">
        <v>157</v>
      </c>
      <c r="C10" s="31" t="n">
        <v>234</v>
      </c>
      <c r="D10" s="31" t="n">
        <v>1</v>
      </c>
      <c r="E10" s="31" t="n">
        <v>300</v>
      </c>
      <c r="F10" s="31" t="n">
        <v>206.4</v>
      </c>
      <c r="G10" s="31" t="n">
        <v>6</v>
      </c>
      <c r="H10" s="31" t="n">
        <v>622.4</v>
      </c>
      <c r="I10" s="27" t="s">
        <v>323</v>
      </c>
      <c r="J10" s="27"/>
    </row>
    <row r="11" customFormat="false" ht="15" hidden="false" customHeight="false" outlineLevel="0" collapsed="false">
      <c r="A11" s="31" t="n">
        <v>2023</v>
      </c>
      <c r="B11" s="27" t="s">
        <v>160</v>
      </c>
      <c r="C11" s="31" t="n">
        <v>288</v>
      </c>
      <c r="D11" s="31" t="n">
        <v>1</v>
      </c>
      <c r="E11" s="31" t="n">
        <v>350</v>
      </c>
      <c r="F11" s="31" t="n">
        <v>203.2</v>
      </c>
      <c r="G11" s="31" t="n">
        <v>7</v>
      </c>
      <c r="H11" s="31" t="n">
        <v>611.2</v>
      </c>
      <c r="I11" s="27" t="s">
        <v>323</v>
      </c>
      <c r="J11" s="27"/>
    </row>
    <row r="12" customFormat="false" ht="15" hidden="false" customHeight="false" outlineLevel="0" collapsed="false">
      <c r="A12" s="31" t="n">
        <v>2023</v>
      </c>
      <c r="B12" s="27" t="s">
        <v>164</v>
      </c>
      <c r="C12" s="31" t="n">
        <v>256</v>
      </c>
      <c r="D12" s="31" t="n">
        <v>1</v>
      </c>
      <c r="E12" s="31" t="n">
        <v>350</v>
      </c>
      <c r="F12" s="31" t="n">
        <v>237.7</v>
      </c>
      <c r="G12" s="31" t="n">
        <v>8</v>
      </c>
      <c r="H12" s="31" t="n">
        <v>588.4</v>
      </c>
      <c r="I12" s="27" t="s">
        <v>323</v>
      </c>
      <c r="J12" s="27"/>
    </row>
    <row r="13" customFormat="false" ht="15" hidden="false" customHeight="false" outlineLevel="0" collapsed="false">
      <c r="A13" s="31" t="n">
        <v>2023</v>
      </c>
      <c r="B13" s="27" t="s">
        <v>167</v>
      </c>
      <c r="C13" s="31" t="n">
        <v>274</v>
      </c>
      <c r="D13" s="31" t="n">
        <v>1</v>
      </c>
      <c r="E13" s="31" t="n">
        <v>500</v>
      </c>
      <c r="F13" s="31" t="n">
        <v>197.8</v>
      </c>
      <c r="G13" s="31" t="n">
        <v>9</v>
      </c>
      <c r="H13" s="31" t="n">
        <v>575.8</v>
      </c>
      <c r="I13" s="27" t="s">
        <v>323</v>
      </c>
      <c r="J13" s="27"/>
    </row>
    <row r="14" customFormat="false" ht="15" hidden="false" customHeight="false" outlineLevel="0" collapsed="false">
      <c r="A14" s="31" t="n">
        <v>2023</v>
      </c>
      <c r="B14" s="27" t="s">
        <v>150</v>
      </c>
      <c r="C14" s="31" t="n">
        <v>277</v>
      </c>
      <c r="D14" s="31" t="n">
        <v>4</v>
      </c>
      <c r="E14" s="31" t="n">
        <v>530</v>
      </c>
      <c r="F14" s="31" t="n">
        <v>198.7</v>
      </c>
      <c r="G14" s="31" t="n">
        <v>10</v>
      </c>
      <c r="H14" s="31" t="n">
        <v>545.1</v>
      </c>
      <c r="I14" s="27" t="s">
        <v>323</v>
      </c>
      <c r="J14" s="27"/>
    </row>
    <row r="15" customFormat="false" ht="15" hidden="false" customHeight="false" outlineLevel="0" collapsed="false">
      <c r="A15" s="31" t="n">
        <v>2023</v>
      </c>
      <c r="B15" s="27" t="s">
        <v>33</v>
      </c>
      <c r="C15" s="31" t="n">
        <v>212</v>
      </c>
      <c r="D15" s="31" t="n">
        <v>1</v>
      </c>
      <c r="E15" s="31" t="n">
        <v>400</v>
      </c>
      <c r="F15" s="31" t="n">
        <v>202.8</v>
      </c>
      <c r="G15" s="31" t="n">
        <v>11</v>
      </c>
      <c r="H15" s="31" t="n">
        <v>494.7</v>
      </c>
      <c r="I15" s="27" t="s">
        <v>323</v>
      </c>
      <c r="J15" s="27"/>
    </row>
    <row r="16" customFormat="false" ht="15" hidden="false" customHeight="false" outlineLevel="0" collapsed="false">
      <c r="A16" s="31" t="n">
        <v>2023</v>
      </c>
      <c r="B16" s="27" t="s">
        <v>158</v>
      </c>
      <c r="C16" s="31" t="n">
        <v>287</v>
      </c>
      <c r="D16" s="31" t="n">
        <v>1</v>
      </c>
      <c r="E16" s="31" t="n">
        <v>336</v>
      </c>
      <c r="F16" s="31" t="n">
        <v>218.2</v>
      </c>
      <c r="G16" s="31" t="n">
        <v>12</v>
      </c>
      <c r="H16" s="31" t="n">
        <v>491.8</v>
      </c>
      <c r="I16" s="27" t="s">
        <v>323</v>
      </c>
      <c r="J16" s="27"/>
    </row>
    <row r="17" customFormat="false" ht="15" hidden="false" customHeight="false" outlineLevel="0" collapsed="false">
      <c r="A17" s="31" t="n">
        <v>2023</v>
      </c>
      <c r="B17" s="27" t="s">
        <v>152</v>
      </c>
      <c r="C17" s="31" t="n">
        <v>270</v>
      </c>
      <c r="D17" s="31" t="n">
        <v>4</v>
      </c>
      <c r="E17" s="31" t="n">
        <v>320</v>
      </c>
      <c r="F17" s="31" t="n">
        <v>243.1</v>
      </c>
      <c r="G17" s="31" t="n">
        <v>13</v>
      </c>
      <c r="H17" s="31" t="n">
        <v>420.1</v>
      </c>
      <c r="I17" s="27" t="s">
        <v>323</v>
      </c>
      <c r="J17" s="27"/>
    </row>
    <row r="18" customFormat="false" ht="15" hidden="false" customHeight="false" outlineLevel="0" collapsed="false">
      <c r="A18" s="31" t="n">
        <v>2023</v>
      </c>
      <c r="B18" s="27" t="s">
        <v>324</v>
      </c>
      <c r="C18" s="31" t="n">
        <v>268</v>
      </c>
      <c r="D18" s="31" t="n">
        <v>4</v>
      </c>
      <c r="E18" s="31" t="n">
        <v>420</v>
      </c>
      <c r="F18" s="31" t="n">
        <v>196.9</v>
      </c>
      <c r="G18" s="31" t="n">
        <v>14</v>
      </c>
      <c r="H18" s="31" t="n">
        <v>408.4</v>
      </c>
      <c r="I18" s="27" t="s">
        <v>323</v>
      </c>
      <c r="J18" s="27"/>
    </row>
    <row r="19" customFormat="false" ht="15" hidden="false" customHeight="false" outlineLevel="0" collapsed="false">
      <c r="A19" s="31" t="n">
        <v>2023</v>
      </c>
      <c r="B19" s="27" t="s">
        <v>36</v>
      </c>
      <c r="C19" s="31" t="n">
        <v>216</v>
      </c>
      <c r="D19" s="31" t="n">
        <v>4</v>
      </c>
      <c r="E19" s="31" t="n">
        <v>600</v>
      </c>
      <c r="F19" s="31" t="n">
        <v>209.6</v>
      </c>
      <c r="G19" s="31" t="n">
        <v>15</v>
      </c>
      <c r="H19" s="31" t="n">
        <v>362.8</v>
      </c>
      <c r="I19" s="27" t="s">
        <v>323</v>
      </c>
      <c r="J19" s="27"/>
    </row>
    <row r="20" customFormat="false" ht="15" hidden="false" customHeight="false" outlineLevel="0" collapsed="false">
      <c r="A20" s="31" t="n">
        <v>2023</v>
      </c>
      <c r="B20" s="27" t="s">
        <v>166</v>
      </c>
      <c r="C20" s="31" t="n">
        <v>250</v>
      </c>
      <c r="D20" s="31" t="n">
        <v>1</v>
      </c>
      <c r="E20" s="31" t="n">
        <v>470</v>
      </c>
      <c r="F20" s="31" t="n">
        <v>218.6</v>
      </c>
      <c r="G20" s="31" t="n">
        <v>16</v>
      </c>
      <c r="H20" s="31" t="n">
        <v>360.3</v>
      </c>
      <c r="I20" s="27" t="s">
        <v>323</v>
      </c>
      <c r="J20" s="27"/>
    </row>
    <row r="21" customFormat="false" ht="15" hidden="false" customHeight="false" outlineLevel="0" collapsed="false">
      <c r="A21" s="31" t="n">
        <v>2023</v>
      </c>
      <c r="B21" s="27" t="s">
        <v>169</v>
      </c>
      <c r="C21" s="31" t="n">
        <v>252</v>
      </c>
      <c r="D21" s="31" t="n">
        <v>4</v>
      </c>
      <c r="E21" s="31" t="n">
        <v>600</v>
      </c>
      <c r="F21" s="31" t="n">
        <v>190.5</v>
      </c>
      <c r="G21" s="31" t="n">
        <v>17</v>
      </c>
      <c r="H21" s="31" t="n">
        <v>340.9</v>
      </c>
      <c r="I21" s="27" t="s">
        <v>323</v>
      </c>
      <c r="J21" s="27"/>
    </row>
    <row r="22" customFormat="false" ht="15" hidden="false" customHeight="false" outlineLevel="0" collapsed="false">
      <c r="A22" s="31" t="n">
        <v>2023</v>
      </c>
      <c r="B22" s="27" t="s">
        <v>162</v>
      </c>
      <c r="C22" s="31" t="n">
        <v>228</v>
      </c>
      <c r="D22" s="31" t="n">
        <v>1</v>
      </c>
      <c r="E22" s="31" t="n">
        <v>380</v>
      </c>
      <c r="F22" s="31" t="n">
        <v>231.8</v>
      </c>
      <c r="G22" s="31" t="n">
        <v>18</v>
      </c>
      <c r="H22" s="31" t="n">
        <v>335.4</v>
      </c>
      <c r="I22" s="27" t="s">
        <v>323</v>
      </c>
      <c r="J22" s="27"/>
    </row>
    <row r="23" customFormat="false" ht="15" hidden="false" customHeight="false" outlineLevel="0" collapsed="false">
      <c r="A23" s="31" t="n">
        <v>2023</v>
      </c>
      <c r="B23" s="27" t="s">
        <v>163</v>
      </c>
      <c r="C23" s="31" t="n">
        <v>220</v>
      </c>
      <c r="D23" s="31" t="n">
        <v>1</v>
      </c>
      <c r="E23" s="31" t="n">
        <v>288</v>
      </c>
      <c r="F23" s="31" t="n">
        <v>187</v>
      </c>
      <c r="G23" s="31" t="n">
        <v>19</v>
      </c>
      <c r="H23" s="31" t="n">
        <v>323.9</v>
      </c>
      <c r="I23" s="27" t="s">
        <v>323</v>
      </c>
      <c r="J23" s="27"/>
    </row>
    <row r="24" customFormat="false" ht="15" hidden="false" customHeight="false" outlineLevel="0" collapsed="false">
      <c r="A24" s="31" t="n">
        <v>2023</v>
      </c>
      <c r="B24" s="27" t="s">
        <v>161</v>
      </c>
      <c r="C24" s="31" t="n">
        <v>232</v>
      </c>
      <c r="D24" s="31" t="n">
        <v>4</v>
      </c>
      <c r="E24" s="31" t="n">
        <v>600</v>
      </c>
      <c r="F24" s="31" t="n">
        <v>254.5</v>
      </c>
      <c r="G24" s="31" t="n">
        <v>20</v>
      </c>
      <c r="H24" s="31" t="n">
        <v>318.8</v>
      </c>
      <c r="I24" s="27" t="s">
        <v>323</v>
      </c>
      <c r="J24" s="27"/>
    </row>
    <row r="25" customFormat="false" ht="15" hidden="false" customHeight="false" outlineLevel="0" collapsed="false">
      <c r="A25" s="31" t="n">
        <v>2023</v>
      </c>
      <c r="B25" s="27" t="s">
        <v>222</v>
      </c>
      <c r="C25" s="31" t="n">
        <v>236</v>
      </c>
      <c r="D25" s="31" t="n">
        <v>2</v>
      </c>
      <c r="E25" s="31" t="n">
        <v>400</v>
      </c>
      <c r="F25" s="31" t="n">
        <v>224.1</v>
      </c>
      <c r="G25" s="31" t="n">
        <v>21</v>
      </c>
      <c r="H25" s="31" t="n">
        <v>287.3</v>
      </c>
      <c r="I25" s="27" t="s">
        <v>323</v>
      </c>
      <c r="J25" s="27"/>
    </row>
    <row r="26" customFormat="false" ht="15" hidden="false" customHeight="false" outlineLevel="0" collapsed="false">
      <c r="A26" s="31" t="n">
        <v>2023</v>
      </c>
      <c r="B26" s="27" t="s">
        <v>147</v>
      </c>
      <c r="C26" s="31" t="n">
        <v>213</v>
      </c>
      <c r="D26" s="31" t="n">
        <v>4</v>
      </c>
      <c r="E26" s="31" t="n">
        <v>600</v>
      </c>
      <c r="F26" s="31" t="n">
        <v>208.7</v>
      </c>
      <c r="G26" s="31" t="n">
        <v>22</v>
      </c>
      <c r="H26" s="31" t="n">
        <v>275.2</v>
      </c>
      <c r="I26" s="27" t="s">
        <v>323</v>
      </c>
      <c r="J26" s="27"/>
    </row>
    <row r="27" customFormat="false" ht="15" hidden="false" customHeight="false" outlineLevel="0" collapsed="false">
      <c r="A27" s="31" t="n">
        <v>2023</v>
      </c>
      <c r="B27" s="27" t="s">
        <v>149</v>
      </c>
      <c r="C27" s="31" t="n">
        <v>219</v>
      </c>
      <c r="D27" s="31" t="n">
        <v>1</v>
      </c>
      <c r="E27" s="31" t="n">
        <v>400</v>
      </c>
      <c r="F27" s="31" t="n">
        <v>205.9</v>
      </c>
      <c r="G27" s="31" t="n">
        <v>23</v>
      </c>
      <c r="H27" s="31" t="n">
        <v>254.8</v>
      </c>
      <c r="I27" s="27" t="s">
        <v>323</v>
      </c>
      <c r="J27" s="27"/>
    </row>
    <row r="28" customFormat="false" ht="15" hidden="false" customHeight="false" outlineLevel="0" collapsed="false">
      <c r="A28" s="31" t="n">
        <v>2023</v>
      </c>
      <c r="B28" s="27" t="s">
        <v>159</v>
      </c>
      <c r="C28" s="31" t="n">
        <v>223</v>
      </c>
      <c r="D28" s="31" t="n">
        <v>1</v>
      </c>
      <c r="E28" s="31" t="n">
        <v>450</v>
      </c>
      <c r="F28" s="31" t="n">
        <v>222.3</v>
      </c>
      <c r="G28" s="31" t="n">
        <v>24</v>
      </c>
      <c r="H28" s="31" t="n">
        <v>240.3</v>
      </c>
      <c r="I28" s="27" t="s">
        <v>323</v>
      </c>
      <c r="J28" s="27"/>
    </row>
    <row r="29" customFormat="false" ht="15" hidden="false" customHeight="false" outlineLevel="0" collapsed="false">
      <c r="A29" s="31" t="n">
        <v>2023</v>
      </c>
      <c r="B29" s="27" t="s">
        <v>193</v>
      </c>
      <c r="C29" s="31" t="n">
        <v>214</v>
      </c>
      <c r="D29" s="31" t="n">
        <v>1</v>
      </c>
      <c r="E29" s="31" t="n">
        <v>400</v>
      </c>
      <c r="F29" s="31" t="n">
        <v>208.7</v>
      </c>
      <c r="G29" s="31" t="n">
        <v>25</v>
      </c>
      <c r="H29" s="31" t="n">
        <v>218.7</v>
      </c>
      <c r="I29" s="27" t="s">
        <v>323</v>
      </c>
      <c r="J29" s="27"/>
    </row>
    <row r="30" customFormat="false" ht="15" hidden="false" customHeight="false" outlineLevel="0" collapsed="false">
      <c r="A30" s="31" t="n">
        <v>2023</v>
      </c>
      <c r="B30" s="27" t="s">
        <v>201</v>
      </c>
      <c r="C30" s="31" t="n">
        <v>231</v>
      </c>
      <c r="D30" s="31" t="n">
        <v>1</v>
      </c>
      <c r="E30" s="31" t="n">
        <v>350</v>
      </c>
      <c r="F30" s="31" t="n">
        <v>180.1</v>
      </c>
      <c r="G30" s="31" t="n">
        <v>26</v>
      </c>
      <c r="H30" s="31" t="n">
        <v>208</v>
      </c>
      <c r="I30" s="27" t="s">
        <v>323</v>
      </c>
      <c r="J30" s="27"/>
    </row>
    <row r="31" customFormat="false" ht="15" hidden="false" customHeight="false" outlineLevel="0" collapsed="false">
      <c r="A31" s="31" t="n">
        <v>2023</v>
      </c>
      <c r="B31" s="27" t="s">
        <v>183</v>
      </c>
      <c r="C31" s="31" t="n">
        <v>227</v>
      </c>
      <c r="D31" s="31" t="n">
        <v>1</v>
      </c>
      <c r="E31" s="31" t="n">
        <v>600</v>
      </c>
      <c r="F31" s="31" t="n">
        <v>183.4</v>
      </c>
      <c r="G31" s="31" t="n">
        <v>27</v>
      </c>
      <c r="H31" s="31" t="n">
        <v>205.3</v>
      </c>
      <c r="I31" s="27" t="s">
        <v>323</v>
      </c>
      <c r="J31" s="27"/>
    </row>
    <row r="32" customFormat="false" ht="15" hidden="false" customHeight="false" outlineLevel="0" collapsed="false">
      <c r="A32" s="31" t="n">
        <v>2023</v>
      </c>
      <c r="B32" s="27" t="s">
        <v>230</v>
      </c>
      <c r="C32" s="31" t="n">
        <v>222</v>
      </c>
      <c r="D32" s="31" t="n">
        <v>1</v>
      </c>
      <c r="E32" s="31" t="n">
        <v>400</v>
      </c>
      <c r="F32" s="31" t="n">
        <v>239.5</v>
      </c>
      <c r="G32" s="31" t="n">
        <v>28</v>
      </c>
      <c r="H32" s="31" t="n">
        <v>202.7</v>
      </c>
      <c r="I32" s="27" t="s">
        <v>323</v>
      </c>
      <c r="J32" s="27"/>
    </row>
    <row r="33" customFormat="false" ht="15" hidden="false" customHeight="false" outlineLevel="0" collapsed="false">
      <c r="A33" s="31" t="n">
        <v>2023</v>
      </c>
      <c r="B33" s="27" t="s">
        <v>184</v>
      </c>
      <c r="C33" s="31" t="n">
        <v>247</v>
      </c>
      <c r="D33" s="31" t="n">
        <v>1</v>
      </c>
      <c r="E33" s="31" t="n">
        <v>400</v>
      </c>
      <c r="F33" s="31" t="n">
        <v>238.1</v>
      </c>
      <c r="G33" s="31" t="n">
        <v>29</v>
      </c>
      <c r="H33" s="31" t="n">
        <v>200.4</v>
      </c>
      <c r="I33" s="27" t="s">
        <v>323</v>
      </c>
      <c r="J33" s="27"/>
    </row>
    <row r="34" customFormat="false" ht="15" hidden="false" customHeight="false" outlineLevel="0" collapsed="false">
      <c r="A34" s="31" t="n">
        <v>2023</v>
      </c>
      <c r="B34" s="27" t="s">
        <v>194</v>
      </c>
      <c r="C34" s="31" t="n">
        <v>253</v>
      </c>
      <c r="D34" s="31" t="n">
        <v>1</v>
      </c>
      <c r="E34" s="31" t="n">
        <v>380</v>
      </c>
      <c r="F34" s="31" t="n">
        <v>240</v>
      </c>
      <c r="G34" s="31" t="n">
        <v>30</v>
      </c>
      <c r="H34" s="31" t="n">
        <v>198.5</v>
      </c>
      <c r="I34" s="27" t="s">
        <v>323</v>
      </c>
      <c r="J34" s="27"/>
    </row>
    <row r="35" customFormat="false" ht="15" hidden="false" customHeight="false" outlineLevel="0" collapsed="false">
      <c r="A35" s="31" t="n">
        <v>2023</v>
      </c>
      <c r="B35" s="27" t="s">
        <v>199</v>
      </c>
      <c r="C35" s="31" t="n">
        <v>243</v>
      </c>
      <c r="D35" s="31" t="n">
        <v>1</v>
      </c>
      <c r="E35" s="31" t="n">
        <v>300</v>
      </c>
      <c r="F35" s="31" t="n">
        <v>275.8</v>
      </c>
      <c r="G35" s="31" t="n">
        <v>31</v>
      </c>
      <c r="H35" s="31" t="n">
        <v>190.6</v>
      </c>
      <c r="I35" s="27" t="s">
        <v>323</v>
      </c>
      <c r="J35" s="27"/>
    </row>
    <row r="36" customFormat="false" ht="15" hidden="false" customHeight="false" outlineLevel="0" collapsed="false">
      <c r="A36" s="31" t="n">
        <v>2023</v>
      </c>
      <c r="B36" s="27" t="s">
        <v>211</v>
      </c>
      <c r="C36" s="31" t="n">
        <v>239</v>
      </c>
      <c r="D36" s="31" t="n">
        <v>2</v>
      </c>
      <c r="E36" s="31" t="n">
        <v>600</v>
      </c>
      <c r="F36" s="31" t="n">
        <v>256.5</v>
      </c>
      <c r="G36" s="31" t="n">
        <v>32</v>
      </c>
      <c r="H36" s="31" t="n">
        <v>188</v>
      </c>
      <c r="I36" s="27" t="s">
        <v>323</v>
      </c>
      <c r="J36" s="27"/>
    </row>
    <row r="37" customFormat="false" ht="15" hidden="false" customHeight="false" outlineLevel="0" collapsed="false">
      <c r="A37" s="31" t="n">
        <v>2023</v>
      </c>
      <c r="B37" s="27" t="s">
        <v>170</v>
      </c>
      <c r="C37" s="31" t="n">
        <v>251</v>
      </c>
      <c r="D37" s="31" t="n">
        <v>2</v>
      </c>
      <c r="E37" s="31" t="n">
        <v>320</v>
      </c>
      <c r="F37" s="31" t="n">
        <v>214.5</v>
      </c>
      <c r="G37" s="31" t="n">
        <v>33</v>
      </c>
      <c r="H37" s="31" t="n">
        <v>183.5</v>
      </c>
      <c r="I37" s="27" t="s">
        <v>323</v>
      </c>
      <c r="J37" s="27"/>
    </row>
    <row r="38" customFormat="false" ht="15" hidden="false" customHeight="false" outlineLevel="0" collapsed="false">
      <c r="A38" s="31" t="n">
        <v>2023</v>
      </c>
      <c r="B38" s="27" t="s">
        <v>216</v>
      </c>
      <c r="C38" s="31" t="n">
        <v>295</v>
      </c>
      <c r="D38" s="31" t="n">
        <v>1</v>
      </c>
      <c r="E38" s="31" t="n">
        <v>420</v>
      </c>
      <c r="F38" s="31" t="n">
        <v>232.7</v>
      </c>
      <c r="G38" s="31" t="n">
        <v>34</v>
      </c>
      <c r="H38" s="31" t="n">
        <v>180.8</v>
      </c>
      <c r="I38" s="27" t="s">
        <v>323</v>
      </c>
      <c r="J38" s="27"/>
    </row>
    <row r="39" customFormat="false" ht="15" hidden="false" customHeight="false" outlineLevel="0" collapsed="false">
      <c r="A39" s="31" t="n">
        <v>2023</v>
      </c>
      <c r="B39" s="27" t="s">
        <v>186</v>
      </c>
      <c r="C39" s="31" t="n">
        <v>248</v>
      </c>
      <c r="D39" s="31" t="n">
        <v>1</v>
      </c>
      <c r="E39" s="31" t="n">
        <v>250</v>
      </c>
      <c r="F39" s="31" t="n">
        <v>235.9</v>
      </c>
      <c r="G39" s="31" t="n">
        <v>35</v>
      </c>
      <c r="H39" s="31" t="n">
        <v>176.1</v>
      </c>
      <c r="I39" s="27" t="s">
        <v>323</v>
      </c>
      <c r="J39" s="27"/>
    </row>
    <row r="40" customFormat="false" ht="15" hidden="false" customHeight="false" outlineLevel="0" collapsed="false">
      <c r="A40" s="31" t="n">
        <v>2023</v>
      </c>
      <c r="B40" s="27" t="s">
        <v>325</v>
      </c>
      <c r="C40" s="31" t="n">
        <v>300</v>
      </c>
      <c r="D40" s="31" t="n">
        <v>1</v>
      </c>
      <c r="E40" s="31" t="n">
        <v>300</v>
      </c>
      <c r="F40" s="31" t="n">
        <v>246.7</v>
      </c>
      <c r="G40" s="31" t="n">
        <v>36</v>
      </c>
      <c r="H40" s="31" t="n">
        <v>170.2</v>
      </c>
      <c r="I40" s="27" t="s">
        <v>323</v>
      </c>
      <c r="J40" s="27"/>
    </row>
    <row r="41" customFormat="false" ht="15" hidden="false" customHeight="false" outlineLevel="0" collapsed="false">
      <c r="A41" s="31" t="n">
        <v>2023</v>
      </c>
      <c r="B41" s="27" t="s">
        <v>326</v>
      </c>
      <c r="C41" s="31" t="n">
        <v>249</v>
      </c>
      <c r="D41" s="31" t="n">
        <v>1</v>
      </c>
      <c r="E41" s="31" t="n">
        <v>400</v>
      </c>
      <c r="F41" s="31" t="n">
        <v>271.7</v>
      </c>
      <c r="G41" s="31" t="n">
        <v>37</v>
      </c>
      <c r="H41" s="31" t="n">
        <v>167.7</v>
      </c>
      <c r="I41" s="27" t="s">
        <v>323</v>
      </c>
      <c r="J41" s="27"/>
    </row>
    <row r="42" customFormat="false" ht="15" hidden="false" customHeight="false" outlineLevel="0" collapsed="false">
      <c r="A42" s="31" t="n">
        <v>2023</v>
      </c>
      <c r="B42" s="27" t="s">
        <v>327</v>
      </c>
      <c r="C42" s="31" t="n">
        <v>237</v>
      </c>
      <c r="D42" s="31" t="n">
        <v>1</v>
      </c>
      <c r="E42" s="31" t="n">
        <v>475</v>
      </c>
      <c r="F42" s="31" t="n">
        <v>242.2</v>
      </c>
      <c r="G42" s="31" t="n">
        <v>38</v>
      </c>
      <c r="H42" s="31" t="n">
        <v>161.2</v>
      </c>
      <c r="I42" s="27" t="s">
        <v>323</v>
      </c>
      <c r="J42" s="27"/>
    </row>
    <row r="43" customFormat="false" ht="15" hidden="false" customHeight="false" outlineLevel="0" collapsed="false">
      <c r="A43" s="31" t="n">
        <v>2023</v>
      </c>
      <c r="B43" s="27" t="s">
        <v>215</v>
      </c>
      <c r="C43" s="31" t="n">
        <v>258</v>
      </c>
      <c r="D43" s="31" t="n">
        <v>1</v>
      </c>
      <c r="E43" s="31" t="n">
        <v>400</v>
      </c>
      <c r="F43" s="31" t="n">
        <v>224.3</v>
      </c>
      <c r="G43" s="31" t="n">
        <v>39</v>
      </c>
      <c r="H43" s="31" t="n">
        <v>157.2</v>
      </c>
      <c r="I43" s="27" t="s">
        <v>323</v>
      </c>
      <c r="J43" s="27"/>
    </row>
    <row r="44" customFormat="false" ht="15" hidden="false" customHeight="false" outlineLevel="0" collapsed="false">
      <c r="A44" s="31" t="n">
        <v>2023</v>
      </c>
      <c r="B44" s="27" t="s">
        <v>212</v>
      </c>
      <c r="C44" s="31" t="n">
        <v>282</v>
      </c>
      <c r="D44" s="31" t="n">
        <v>1</v>
      </c>
      <c r="E44" s="31" t="n">
        <v>350</v>
      </c>
      <c r="F44" s="31" t="n">
        <v>245.4</v>
      </c>
      <c r="G44" s="31" t="n">
        <v>40</v>
      </c>
      <c r="H44" s="31" t="n">
        <v>156.2</v>
      </c>
      <c r="I44" s="27" t="s">
        <v>323</v>
      </c>
      <c r="J44" s="27"/>
    </row>
    <row r="45" customFormat="false" ht="15" hidden="false" customHeight="false" outlineLevel="0" collapsed="false">
      <c r="A45" s="31" t="n">
        <v>2023</v>
      </c>
      <c r="B45" s="27" t="s">
        <v>224</v>
      </c>
      <c r="C45" s="31" t="n">
        <v>273</v>
      </c>
      <c r="D45" s="31" t="n">
        <v>1</v>
      </c>
      <c r="E45" s="31" t="n">
        <v>380</v>
      </c>
      <c r="F45" s="31" t="n">
        <v>232.7</v>
      </c>
      <c r="G45" s="31" t="n">
        <v>41</v>
      </c>
      <c r="H45" s="31" t="n">
        <v>154.6</v>
      </c>
      <c r="I45" s="27" t="s">
        <v>323</v>
      </c>
      <c r="J45" s="27"/>
    </row>
    <row r="46" customFormat="false" ht="15" hidden="false" customHeight="false" outlineLevel="0" collapsed="false">
      <c r="A46" s="31" t="n">
        <v>2023</v>
      </c>
      <c r="B46" s="27" t="s">
        <v>187</v>
      </c>
      <c r="C46" s="31" t="n">
        <v>226</v>
      </c>
      <c r="D46" s="31" t="n">
        <v>1</v>
      </c>
      <c r="E46" s="31" t="n">
        <v>400</v>
      </c>
      <c r="F46" s="31" t="n">
        <v>197.8</v>
      </c>
      <c r="G46" s="31" t="n">
        <v>42</v>
      </c>
      <c r="H46" s="31" t="n">
        <v>152.9</v>
      </c>
      <c r="I46" s="27" t="s">
        <v>323</v>
      </c>
      <c r="J46" s="27"/>
    </row>
    <row r="47" customFormat="false" ht="15" hidden="false" customHeight="false" outlineLevel="0" collapsed="false">
      <c r="A47" s="31" t="n">
        <v>2023</v>
      </c>
      <c r="B47" s="27" t="s">
        <v>168</v>
      </c>
      <c r="C47" s="31" t="n">
        <v>278</v>
      </c>
      <c r="D47" s="31" t="n">
        <v>1</v>
      </c>
      <c r="E47" s="31" t="n">
        <v>400</v>
      </c>
      <c r="F47" s="31" t="n">
        <v>244.9</v>
      </c>
      <c r="G47" s="31" t="n">
        <v>43</v>
      </c>
      <c r="H47" s="31" t="n">
        <v>151.9</v>
      </c>
      <c r="I47" s="27" t="s">
        <v>323</v>
      </c>
      <c r="J47" s="27"/>
    </row>
    <row r="48" customFormat="false" ht="15" hidden="false" customHeight="false" outlineLevel="0" collapsed="false">
      <c r="A48" s="31" t="n">
        <v>2023</v>
      </c>
      <c r="B48" s="27" t="s">
        <v>181</v>
      </c>
      <c r="C48" s="31" t="n">
        <v>276</v>
      </c>
      <c r="D48" s="31" t="n">
        <v>2</v>
      </c>
      <c r="E48" s="31" t="n">
        <v>435</v>
      </c>
      <c r="F48" s="31" t="n">
        <v>227.2</v>
      </c>
      <c r="G48" s="31" t="n">
        <v>44</v>
      </c>
      <c r="H48" s="31" t="n">
        <v>147.7</v>
      </c>
      <c r="I48" s="27" t="s">
        <v>323</v>
      </c>
      <c r="J48" s="27"/>
    </row>
    <row r="49" customFormat="false" ht="15" hidden="false" customHeight="false" outlineLevel="0" collapsed="false">
      <c r="A49" s="31" t="n">
        <v>2023</v>
      </c>
      <c r="B49" s="27" t="s">
        <v>204</v>
      </c>
      <c r="C49" s="31" t="n">
        <v>255</v>
      </c>
      <c r="D49" s="31" t="n">
        <v>1</v>
      </c>
      <c r="E49" s="31" t="n">
        <v>415</v>
      </c>
      <c r="F49" s="31" t="n">
        <v>248.9</v>
      </c>
      <c r="G49" s="31" t="n">
        <v>45</v>
      </c>
      <c r="H49" s="31" t="n">
        <v>145.2</v>
      </c>
      <c r="I49" s="27" t="s">
        <v>323</v>
      </c>
      <c r="J49" s="27"/>
    </row>
    <row r="50" customFormat="false" ht="15" hidden="false" customHeight="false" outlineLevel="0" collapsed="false">
      <c r="A50" s="31" t="n">
        <v>2023</v>
      </c>
      <c r="B50" s="27" t="s">
        <v>192</v>
      </c>
      <c r="C50" s="31" t="n">
        <v>246</v>
      </c>
      <c r="D50" s="31" t="n">
        <v>1</v>
      </c>
      <c r="E50" s="31" t="n">
        <v>420</v>
      </c>
      <c r="F50" s="31" t="n">
        <v>212.3</v>
      </c>
      <c r="G50" s="31" t="n">
        <v>46</v>
      </c>
      <c r="H50" s="31" t="n">
        <v>141.8</v>
      </c>
      <c r="I50" s="27" t="s">
        <v>323</v>
      </c>
      <c r="J50" s="27"/>
    </row>
    <row r="51" customFormat="false" ht="15" hidden="false" customHeight="false" outlineLevel="0" collapsed="false">
      <c r="A51" s="31" t="n">
        <v>2023</v>
      </c>
      <c r="B51" s="27" t="s">
        <v>328</v>
      </c>
      <c r="C51" s="31" t="n">
        <v>225</v>
      </c>
      <c r="D51" s="31" t="n">
        <v>1</v>
      </c>
      <c r="E51" s="31" t="n">
        <v>100</v>
      </c>
      <c r="F51" s="31" t="n">
        <v>483.5</v>
      </c>
      <c r="G51" s="31" t="n">
        <v>47</v>
      </c>
      <c r="H51" s="31" t="n">
        <v>141.5</v>
      </c>
      <c r="I51" s="27" t="s">
        <v>323</v>
      </c>
      <c r="J51" s="27"/>
    </row>
    <row r="52" customFormat="false" ht="15" hidden="false" customHeight="false" outlineLevel="0" collapsed="false">
      <c r="A52" s="31" t="n">
        <v>2023</v>
      </c>
      <c r="B52" s="27" t="s">
        <v>202</v>
      </c>
      <c r="C52" s="31" t="n">
        <v>257</v>
      </c>
      <c r="D52" s="31" t="n">
        <v>1</v>
      </c>
      <c r="E52" s="31" t="n">
        <v>570</v>
      </c>
      <c r="F52" s="31" t="n">
        <v>207.7</v>
      </c>
      <c r="G52" s="31" t="n">
        <v>48</v>
      </c>
      <c r="H52" s="31" t="n">
        <v>134.7</v>
      </c>
      <c r="I52" s="27" t="s">
        <v>323</v>
      </c>
      <c r="J52" s="27"/>
    </row>
    <row r="53" customFormat="false" ht="15" hidden="false" customHeight="false" outlineLevel="0" collapsed="false">
      <c r="A53" s="31" t="n">
        <v>2023</v>
      </c>
      <c r="B53" s="27" t="s">
        <v>217</v>
      </c>
      <c r="C53" s="31" t="n">
        <v>230</v>
      </c>
      <c r="D53" s="31" t="n">
        <v>1</v>
      </c>
      <c r="E53" s="31" t="n">
        <v>300</v>
      </c>
      <c r="F53" s="31" t="n">
        <v>223.6</v>
      </c>
      <c r="G53" s="31" t="n">
        <v>49</v>
      </c>
      <c r="H53" s="31" t="n">
        <v>131.8</v>
      </c>
      <c r="I53" s="27" t="s">
        <v>323</v>
      </c>
      <c r="J53" s="27"/>
    </row>
    <row r="54" customFormat="false" ht="15" hidden="false" customHeight="false" outlineLevel="0" collapsed="false">
      <c r="A54" s="31" t="n">
        <v>2023</v>
      </c>
      <c r="B54" s="27" t="s">
        <v>196</v>
      </c>
      <c r="C54" s="31" t="n">
        <v>238</v>
      </c>
      <c r="D54" s="31" t="n">
        <v>1</v>
      </c>
      <c r="E54" s="31" t="n">
        <v>350</v>
      </c>
      <c r="F54" s="31" t="n">
        <v>192.8</v>
      </c>
      <c r="G54" s="31" t="n">
        <v>50</v>
      </c>
      <c r="H54" s="31" t="n">
        <v>127.5</v>
      </c>
      <c r="I54" s="27" t="s">
        <v>323</v>
      </c>
      <c r="J54" s="27"/>
    </row>
    <row r="55" customFormat="false" ht="15" hidden="false" customHeight="false" outlineLevel="0" collapsed="false">
      <c r="A55" s="31" t="n">
        <v>2023</v>
      </c>
      <c r="B55" s="27" t="s">
        <v>190</v>
      </c>
      <c r="C55" s="31" t="n">
        <v>289</v>
      </c>
      <c r="D55" s="31" t="n">
        <v>1</v>
      </c>
      <c r="E55" s="31" t="n">
        <v>400</v>
      </c>
      <c r="F55" s="31" t="n">
        <v>222.3</v>
      </c>
      <c r="G55" s="31" t="n">
        <v>51</v>
      </c>
      <c r="H55" s="31" t="n">
        <v>122.4</v>
      </c>
      <c r="I55" s="27" t="s">
        <v>323</v>
      </c>
      <c r="J55" s="27"/>
    </row>
    <row r="56" customFormat="false" ht="15" hidden="false" customHeight="false" outlineLevel="0" collapsed="false">
      <c r="A56" s="31" t="n">
        <v>2023</v>
      </c>
      <c r="B56" s="27" t="s">
        <v>246</v>
      </c>
      <c r="C56" s="31" t="n">
        <v>218</v>
      </c>
      <c r="D56" s="31" t="n">
        <v>1</v>
      </c>
      <c r="E56" s="31" t="n">
        <v>336</v>
      </c>
      <c r="F56" s="31" t="n">
        <v>155.1</v>
      </c>
      <c r="G56" s="31" t="n">
        <v>52</v>
      </c>
      <c r="H56" s="31" t="n">
        <v>115.5</v>
      </c>
      <c r="I56" s="27" t="s">
        <v>323</v>
      </c>
      <c r="J56" s="27"/>
    </row>
    <row r="57" customFormat="false" ht="15" hidden="false" customHeight="false" outlineLevel="0" collapsed="false">
      <c r="A57" s="31" t="n">
        <v>2023</v>
      </c>
      <c r="B57" s="27" t="s">
        <v>258</v>
      </c>
      <c r="C57" s="31" t="n">
        <v>261</v>
      </c>
      <c r="D57" s="31" t="n">
        <v>1</v>
      </c>
      <c r="E57" s="31" t="n">
        <v>335</v>
      </c>
      <c r="F57" s="31" t="n">
        <v>306.2</v>
      </c>
      <c r="G57" s="31" t="n">
        <v>53</v>
      </c>
      <c r="H57" s="31" t="n">
        <v>106</v>
      </c>
      <c r="I57" s="27" t="s">
        <v>323</v>
      </c>
      <c r="J57" s="27"/>
    </row>
    <row r="58" customFormat="false" ht="15" hidden="false" customHeight="false" outlineLevel="0" collapsed="false">
      <c r="A58" s="31" t="n">
        <v>2023</v>
      </c>
      <c r="B58" s="27" t="s">
        <v>195</v>
      </c>
      <c r="C58" s="31" t="n">
        <v>264</v>
      </c>
      <c r="D58" s="31" t="n">
        <v>1</v>
      </c>
      <c r="E58" s="31" t="n">
        <v>550</v>
      </c>
      <c r="F58" s="31" t="n">
        <v>164.7</v>
      </c>
      <c r="G58" s="31" t="n">
        <v>54</v>
      </c>
      <c r="H58" s="31" t="n">
        <v>105</v>
      </c>
      <c r="I58" s="27" t="s">
        <v>323</v>
      </c>
      <c r="J58" s="27"/>
    </row>
    <row r="59" customFormat="false" ht="15" hidden="false" customHeight="false" outlineLevel="0" collapsed="false">
      <c r="A59" s="31" t="n">
        <v>2023</v>
      </c>
      <c r="B59" s="27" t="s">
        <v>214</v>
      </c>
      <c r="C59" s="31" t="n">
        <v>244</v>
      </c>
      <c r="D59" s="31" t="n">
        <v>1</v>
      </c>
      <c r="E59" s="31" t="n">
        <v>570</v>
      </c>
      <c r="F59" s="31" t="n">
        <v>229.1</v>
      </c>
      <c r="G59" s="31" t="n">
        <v>55</v>
      </c>
      <c r="H59" s="31" t="n">
        <v>104</v>
      </c>
      <c r="I59" s="27" t="s">
        <v>323</v>
      </c>
      <c r="J59" s="27"/>
    </row>
    <row r="60" customFormat="false" ht="15" hidden="false" customHeight="false" outlineLevel="0" collapsed="false">
      <c r="A60" s="31" t="n">
        <v>2023</v>
      </c>
      <c r="B60" s="27" t="s">
        <v>228</v>
      </c>
      <c r="C60" s="31" t="n">
        <v>265</v>
      </c>
      <c r="D60" s="31" t="n">
        <v>1</v>
      </c>
      <c r="E60" s="31" t="n">
        <v>120</v>
      </c>
      <c r="F60" s="31" t="n">
        <v>192.3</v>
      </c>
      <c r="G60" s="31" t="n">
        <v>56</v>
      </c>
      <c r="H60" s="31" t="n">
        <v>102.4</v>
      </c>
      <c r="I60" s="27" t="s">
        <v>323</v>
      </c>
      <c r="J60" s="27"/>
    </row>
    <row r="61" customFormat="false" ht="15" hidden="false" customHeight="false" outlineLevel="0" collapsed="false">
      <c r="A61" s="31" t="n">
        <v>2023</v>
      </c>
      <c r="B61" s="27" t="s">
        <v>188</v>
      </c>
      <c r="C61" s="31" t="n">
        <v>215</v>
      </c>
      <c r="D61" s="31" t="n">
        <v>1</v>
      </c>
      <c r="E61" s="31" t="n">
        <v>600</v>
      </c>
      <c r="F61" s="31" t="n">
        <v>226.8</v>
      </c>
      <c r="G61" s="31" t="n">
        <v>57</v>
      </c>
      <c r="H61" s="31" t="n">
        <v>99.1</v>
      </c>
      <c r="I61" s="27" t="s">
        <v>323</v>
      </c>
      <c r="J61" s="27"/>
    </row>
    <row r="62" customFormat="false" ht="15" hidden="false" customHeight="false" outlineLevel="0" collapsed="false">
      <c r="A62" s="31" t="n">
        <v>2023</v>
      </c>
      <c r="B62" s="27" t="s">
        <v>197</v>
      </c>
      <c r="C62" s="31" t="n">
        <v>241</v>
      </c>
      <c r="D62" s="31" t="n">
        <v>1</v>
      </c>
      <c r="E62" s="31" t="n">
        <v>400</v>
      </c>
      <c r="F62" s="31" t="n">
        <v>138.8</v>
      </c>
      <c r="G62" s="31" t="n">
        <v>58</v>
      </c>
      <c r="H62" s="31" t="n">
        <v>95.5</v>
      </c>
      <c r="I62" s="27" t="s">
        <v>323</v>
      </c>
      <c r="J62" s="27"/>
    </row>
    <row r="63" customFormat="false" ht="15" hidden="false" customHeight="false" outlineLevel="0" collapsed="false">
      <c r="A63" s="31" t="n">
        <v>2023</v>
      </c>
      <c r="B63" s="27" t="s">
        <v>235</v>
      </c>
      <c r="C63" s="31" t="n">
        <v>272</v>
      </c>
      <c r="D63" s="31" t="n">
        <v>1</v>
      </c>
      <c r="E63" s="31" t="n">
        <v>300</v>
      </c>
      <c r="F63" s="31" t="n">
        <v>192.8</v>
      </c>
      <c r="G63" s="31" t="n">
        <v>59</v>
      </c>
      <c r="H63" s="31" t="n">
        <v>78.7</v>
      </c>
      <c r="I63" s="27" t="s">
        <v>323</v>
      </c>
      <c r="J63" s="27"/>
    </row>
    <row r="64" customFormat="false" ht="15" hidden="false" customHeight="false" outlineLevel="0" collapsed="false">
      <c r="A64" s="31" t="n">
        <v>2023</v>
      </c>
      <c r="B64" s="27" t="s">
        <v>208</v>
      </c>
      <c r="C64" s="31" t="n">
        <v>291</v>
      </c>
      <c r="D64" s="31" t="n">
        <v>1</v>
      </c>
      <c r="E64" s="31" t="n">
        <v>500</v>
      </c>
      <c r="F64" s="31" t="n">
        <v>234.5</v>
      </c>
      <c r="G64" s="31" t="n">
        <v>60</v>
      </c>
      <c r="H64" s="31" t="n">
        <v>68.3</v>
      </c>
      <c r="I64" s="27" t="s">
        <v>323</v>
      </c>
      <c r="J64" s="27"/>
    </row>
    <row r="65" customFormat="false" ht="15" hidden="false" customHeight="false" outlineLevel="0" collapsed="false">
      <c r="A65" s="31" t="n">
        <v>2023</v>
      </c>
      <c r="B65" s="27" t="s">
        <v>213</v>
      </c>
      <c r="C65" s="31" t="n">
        <v>280</v>
      </c>
      <c r="D65" s="31" t="n">
        <v>1</v>
      </c>
      <c r="E65" s="31" t="n">
        <v>335</v>
      </c>
      <c r="F65" s="31" t="n">
        <v>247.2</v>
      </c>
      <c r="G65" s="31" t="n">
        <v>61</v>
      </c>
      <c r="H65" s="31" t="n">
        <v>36.4</v>
      </c>
      <c r="I65" s="27" t="s">
        <v>323</v>
      </c>
      <c r="J65" s="27"/>
    </row>
    <row r="66" customFormat="false" ht="15" hidden="false" customHeight="false" outlineLevel="0" collapsed="false">
      <c r="A66" s="31" t="n">
        <v>2024</v>
      </c>
      <c r="B66" s="27" t="s">
        <v>35</v>
      </c>
      <c r="C66" s="31" t="n">
        <v>204</v>
      </c>
      <c r="D66" s="31" t="n">
        <v>1</v>
      </c>
      <c r="E66" s="31" t="n">
        <v>320</v>
      </c>
      <c r="F66" s="31" t="n">
        <v>203.2</v>
      </c>
      <c r="G66" s="31" t="n">
        <v>1</v>
      </c>
      <c r="H66" s="31" t="n">
        <v>760.6</v>
      </c>
      <c r="I66" s="27" t="s">
        <v>323</v>
      </c>
      <c r="J66" s="27"/>
    </row>
    <row r="67" customFormat="false" ht="15" hidden="false" customHeight="false" outlineLevel="0" collapsed="false">
      <c r="A67" s="31" t="n">
        <v>2024</v>
      </c>
      <c r="B67" s="27" t="s">
        <v>33</v>
      </c>
      <c r="C67" s="31" t="n">
        <v>238</v>
      </c>
      <c r="D67" s="31" t="n">
        <v>1</v>
      </c>
      <c r="E67" s="31" t="n">
        <v>400</v>
      </c>
      <c r="F67" s="31" t="n">
        <v>206.8</v>
      </c>
      <c r="G67" s="31" t="n">
        <v>2</v>
      </c>
      <c r="H67" s="31" t="n">
        <v>757.8</v>
      </c>
      <c r="I67" s="27" t="s">
        <v>323</v>
      </c>
      <c r="J67" s="27"/>
    </row>
    <row r="68" customFormat="false" ht="15" hidden="false" customHeight="false" outlineLevel="0" collapsed="false">
      <c r="A68" s="31" t="n">
        <v>2024</v>
      </c>
      <c r="B68" s="27" t="s">
        <v>152</v>
      </c>
      <c r="C68" s="31" t="n">
        <v>252</v>
      </c>
      <c r="D68" s="31" t="n">
        <v>4</v>
      </c>
      <c r="E68" s="31" t="n">
        <v>325</v>
      </c>
      <c r="F68" s="31" t="n">
        <v>191</v>
      </c>
      <c r="G68" s="31" t="n">
        <v>3</v>
      </c>
      <c r="H68" s="31" t="n">
        <v>754.1</v>
      </c>
      <c r="I68" s="27" t="s">
        <v>323</v>
      </c>
      <c r="J68" s="27"/>
    </row>
    <row r="69" customFormat="false" ht="15" hidden="false" customHeight="false" outlineLevel="0" collapsed="false">
      <c r="A69" s="31" t="n">
        <v>2024</v>
      </c>
      <c r="B69" s="27" t="s">
        <v>150</v>
      </c>
      <c r="C69" s="31" t="n">
        <v>210</v>
      </c>
      <c r="D69" s="31" t="n">
        <v>4</v>
      </c>
      <c r="E69" s="31" t="n">
        <v>525</v>
      </c>
      <c r="F69" s="31" t="n">
        <v>188.7</v>
      </c>
      <c r="G69" s="31" t="n">
        <v>4</v>
      </c>
      <c r="H69" s="31" t="n">
        <v>751.7</v>
      </c>
      <c r="I69" s="27" t="s">
        <v>323</v>
      </c>
      <c r="J69" s="27"/>
    </row>
    <row r="70" customFormat="false" ht="15" hidden="false" customHeight="false" outlineLevel="0" collapsed="false">
      <c r="A70" s="31" t="n">
        <v>2024</v>
      </c>
      <c r="B70" s="27" t="s">
        <v>149</v>
      </c>
      <c r="C70" s="31" t="n">
        <v>217</v>
      </c>
      <c r="D70" s="31" t="n">
        <v>1</v>
      </c>
      <c r="E70" s="31" t="n">
        <v>400</v>
      </c>
      <c r="F70" s="31" t="n">
        <v>202.8</v>
      </c>
      <c r="G70" s="31" t="n">
        <v>5</v>
      </c>
      <c r="H70" s="31" t="n">
        <v>724.3</v>
      </c>
      <c r="I70" s="27" t="s">
        <v>323</v>
      </c>
      <c r="J70" s="27"/>
    </row>
    <row r="71" customFormat="false" ht="15" hidden="false" customHeight="false" outlineLevel="0" collapsed="false">
      <c r="A71" s="31" t="n">
        <v>2024</v>
      </c>
      <c r="B71" s="27" t="s">
        <v>158</v>
      </c>
      <c r="C71" s="31" t="n">
        <v>292</v>
      </c>
      <c r="D71" s="31" t="n">
        <v>1</v>
      </c>
      <c r="E71" s="31" t="n">
        <v>420</v>
      </c>
      <c r="F71" s="31" t="n">
        <v>206.8</v>
      </c>
      <c r="G71" s="31" t="n">
        <v>6</v>
      </c>
      <c r="H71" s="31" t="n">
        <v>711.9</v>
      </c>
      <c r="I71" s="27" t="s">
        <v>323</v>
      </c>
      <c r="J71" s="27"/>
    </row>
    <row r="72" customFormat="false" ht="15" hidden="false" customHeight="false" outlineLevel="0" collapsed="false">
      <c r="A72" s="31" t="n">
        <v>2024</v>
      </c>
      <c r="B72" s="27" t="s">
        <v>161</v>
      </c>
      <c r="C72" s="31" t="n">
        <v>223</v>
      </c>
      <c r="D72" s="31" t="n">
        <v>4</v>
      </c>
      <c r="E72" s="31" t="n">
        <v>600</v>
      </c>
      <c r="F72" s="31" t="n">
        <v>209.6</v>
      </c>
      <c r="G72" s="31" t="n">
        <v>7</v>
      </c>
      <c r="H72" s="31" t="n">
        <v>700</v>
      </c>
      <c r="I72" s="27" t="s">
        <v>323</v>
      </c>
      <c r="J72" s="27"/>
    </row>
    <row r="73" customFormat="false" ht="15" hidden="false" customHeight="false" outlineLevel="0" collapsed="false">
      <c r="A73" s="31" t="n">
        <v>2024</v>
      </c>
      <c r="B73" s="27" t="s">
        <v>151</v>
      </c>
      <c r="C73" s="31" t="n">
        <v>203</v>
      </c>
      <c r="D73" s="31" t="n">
        <v>4</v>
      </c>
      <c r="E73" s="31" t="n">
        <v>545</v>
      </c>
      <c r="F73" s="31" t="n">
        <v>203.2</v>
      </c>
      <c r="G73" s="31" t="n">
        <v>8</v>
      </c>
      <c r="H73" s="31" t="n">
        <v>687.6</v>
      </c>
      <c r="I73" s="27" t="s">
        <v>323</v>
      </c>
      <c r="J73" s="27"/>
    </row>
    <row r="74" customFormat="false" ht="15" hidden="false" customHeight="false" outlineLevel="0" collapsed="false">
      <c r="A74" s="31" t="n">
        <v>2024</v>
      </c>
      <c r="B74" s="27" t="s">
        <v>153</v>
      </c>
      <c r="C74" s="31" t="n">
        <v>231</v>
      </c>
      <c r="D74" s="31" t="n">
        <v>1</v>
      </c>
      <c r="E74" s="31" t="n">
        <v>590</v>
      </c>
      <c r="F74" s="31" t="n">
        <v>244.9</v>
      </c>
      <c r="G74" s="31" t="n">
        <v>9</v>
      </c>
      <c r="H74" s="31" t="n">
        <v>682.7</v>
      </c>
      <c r="I74" s="27" t="s">
        <v>323</v>
      </c>
      <c r="J74" s="27"/>
    </row>
    <row r="75" customFormat="false" ht="15" hidden="false" customHeight="false" outlineLevel="0" collapsed="false">
      <c r="A75" s="31" t="n">
        <v>2024</v>
      </c>
      <c r="B75" s="27" t="s">
        <v>154</v>
      </c>
      <c r="C75" s="31" t="n">
        <v>205</v>
      </c>
      <c r="D75" s="31" t="n">
        <v>1</v>
      </c>
      <c r="E75" s="31" t="n">
        <v>480</v>
      </c>
      <c r="F75" s="31" t="n">
        <v>243.1</v>
      </c>
      <c r="G75" s="31" t="n">
        <v>10</v>
      </c>
      <c r="H75" s="31" t="n">
        <v>682.7</v>
      </c>
      <c r="I75" s="27" t="s">
        <v>323</v>
      </c>
      <c r="J75" s="27"/>
    </row>
    <row r="76" customFormat="false" ht="15" hidden="false" customHeight="false" outlineLevel="0" collapsed="false">
      <c r="A76" s="31" t="n">
        <v>2024</v>
      </c>
      <c r="B76" s="27" t="s">
        <v>162</v>
      </c>
      <c r="C76" s="31" t="n">
        <v>225</v>
      </c>
      <c r="D76" s="31" t="n">
        <v>1</v>
      </c>
      <c r="E76" s="31" t="n">
        <v>375</v>
      </c>
      <c r="F76" s="31" t="n">
        <v>217.3</v>
      </c>
      <c r="G76" s="31" t="n">
        <v>11</v>
      </c>
      <c r="H76" s="31" t="n">
        <v>681.9</v>
      </c>
      <c r="I76" s="27" t="s">
        <v>323</v>
      </c>
      <c r="J76" s="27"/>
    </row>
    <row r="77" customFormat="false" ht="15" hidden="false" customHeight="false" outlineLevel="0" collapsed="false">
      <c r="A77" s="31" t="n">
        <v>2024</v>
      </c>
      <c r="B77" s="27" t="s">
        <v>163</v>
      </c>
      <c r="C77" s="31" t="n">
        <v>257</v>
      </c>
      <c r="D77" s="31" t="n">
        <v>1</v>
      </c>
      <c r="E77" s="31" t="n">
        <v>400</v>
      </c>
      <c r="F77" s="31" t="n">
        <v>213.2</v>
      </c>
      <c r="G77" s="31" t="n">
        <v>12</v>
      </c>
      <c r="H77" s="31" t="n">
        <v>647.5</v>
      </c>
      <c r="I77" s="27" t="s">
        <v>323</v>
      </c>
      <c r="J77" s="27"/>
    </row>
    <row r="78" customFormat="false" ht="15" hidden="false" customHeight="false" outlineLevel="0" collapsed="false">
      <c r="A78" s="31" t="n">
        <v>2024</v>
      </c>
      <c r="B78" s="27" t="s">
        <v>164</v>
      </c>
      <c r="C78" s="31" t="n">
        <v>208</v>
      </c>
      <c r="D78" s="31" t="n">
        <v>1</v>
      </c>
      <c r="E78" s="31" t="n">
        <v>300</v>
      </c>
      <c r="F78" s="31" t="n">
        <v>201.4</v>
      </c>
      <c r="G78" s="31" t="n">
        <v>13</v>
      </c>
      <c r="H78" s="31" t="n">
        <v>627.9</v>
      </c>
      <c r="I78" s="27" t="s">
        <v>323</v>
      </c>
      <c r="J78" s="27"/>
    </row>
    <row r="79" customFormat="false" ht="15" hidden="false" customHeight="false" outlineLevel="0" collapsed="false">
      <c r="A79" s="16" t="n">
        <v>2024</v>
      </c>
      <c r="B79" s="36" t="s">
        <v>148</v>
      </c>
      <c r="C79" s="16" t="n">
        <v>202</v>
      </c>
      <c r="D79" s="16" t="n">
        <v>4</v>
      </c>
      <c r="E79" s="16" t="n">
        <v>600</v>
      </c>
      <c r="F79" s="16" t="n">
        <v>264</v>
      </c>
      <c r="G79" s="16" t="n">
        <v>14</v>
      </c>
      <c r="H79" s="16" t="n">
        <v>589.9</v>
      </c>
      <c r="I79" s="36" t="s">
        <v>323</v>
      </c>
      <c r="J79" s="36" t="s">
        <v>105</v>
      </c>
    </row>
    <row r="80" customFormat="false" ht="15" hidden="false" customHeight="false" outlineLevel="0" collapsed="false">
      <c r="A80" s="31" t="n">
        <v>2024</v>
      </c>
      <c r="B80" s="27" t="s">
        <v>157</v>
      </c>
      <c r="C80" s="31" t="n">
        <v>206</v>
      </c>
      <c r="D80" s="31" t="n">
        <v>1</v>
      </c>
      <c r="E80" s="31" t="n">
        <v>300</v>
      </c>
      <c r="F80" s="31" t="n">
        <v>202.8</v>
      </c>
      <c r="G80" s="31" t="n">
        <v>15</v>
      </c>
      <c r="H80" s="31" t="n">
        <v>568.7</v>
      </c>
      <c r="I80" s="27" t="s">
        <v>323</v>
      </c>
      <c r="J80" s="27"/>
    </row>
    <row r="81" customFormat="false" ht="15" hidden="false" customHeight="false" outlineLevel="0" collapsed="false">
      <c r="A81" s="31" t="n">
        <v>2024</v>
      </c>
      <c r="B81" s="27" t="s">
        <v>156</v>
      </c>
      <c r="C81" s="31" t="n">
        <v>201</v>
      </c>
      <c r="D81" s="31" t="n">
        <v>4</v>
      </c>
      <c r="E81" s="31" t="n">
        <v>600</v>
      </c>
      <c r="F81" s="31" t="n">
        <v>181</v>
      </c>
      <c r="G81" s="31" t="n">
        <v>16</v>
      </c>
      <c r="H81" s="31" t="n">
        <v>524.6</v>
      </c>
      <c r="I81" s="27" t="s">
        <v>323</v>
      </c>
      <c r="J81" s="27"/>
    </row>
    <row r="82" customFormat="false" ht="15" hidden="false" customHeight="false" outlineLevel="0" collapsed="false">
      <c r="A82" s="31" t="n">
        <v>2024</v>
      </c>
      <c r="B82" s="27" t="s">
        <v>182</v>
      </c>
      <c r="C82" s="31" t="n">
        <v>288</v>
      </c>
      <c r="D82" s="31" t="n">
        <v>1</v>
      </c>
      <c r="E82" s="31" t="n">
        <v>375</v>
      </c>
      <c r="F82" s="31" t="n">
        <v>185.1</v>
      </c>
      <c r="G82" s="31" t="n">
        <v>17</v>
      </c>
      <c r="H82" s="31" t="n">
        <v>524.1</v>
      </c>
      <c r="I82" s="27" t="s">
        <v>323</v>
      </c>
      <c r="J82" s="27"/>
    </row>
    <row r="83" customFormat="false" ht="15" hidden="false" customHeight="false" outlineLevel="0" collapsed="false">
      <c r="A83" s="31" t="n">
        <v>2024</v>
      </c>
      <c r="B83" s="27" t="s">
        <v>147</v>
      </c>
      <c r="C83" s="31" t="n">
        <v>250</v>
      </c>
      <c r="D83" s="31" t="n">
        <v>4</v>
      </c>
      <c r="E83" s="31" t="n">
        <v>600</v>
      </c>
      <c r="F83" s="31" t="n">
        <v>193.2</v>
      </c>
      <c r="G83" s="31" t="n">
        <v>18</v>
      </c>
      <c r="H83" s="31" t="n">
        <v>520.7</v>
      </c>
      <c r="I83" s="27" t="s">
        <v>323</v>
      </c>
      <c r="J83" s="27"/>
    </row>
    <row r="84" customFormat="false" ht="15" hidden="false" customHeight="false" outlineLevel="0" collapsed="false">
      <c r="A84" s="31" t="n">
        <v>2024</v>
      </c>
      <c r="B84" s="27" t="s">
        <v>186</v>
      </c>
      <c r="C84" s="31" t="n">
        <v>228</v>
      </c>
      <c r="D84" s="31" t="n">
        <v>1</v>
      </c>
      <c r="E84" s="31" t="n">
        <v>350</v>
      </c>
      <c r="F84" s="31" t="n">
        <v>230</v>
      </c>
      <c r="G84" s="31" t="n">
        <v>19</v>
      </c>
      <c r="H84" s="31" t="n">
        <v>496.6</v>
      </c>
      <c r="I84" s="27" t="s">
        <v>323</v>
      </c>
      <c r="J84" s="27"/>
    </row>
    <row r="85" customFormat="false" ht="15" hidden="false" customHeight="false" outlineLevel="0" collapsed="false">
      <c r="A85" s="31" t="n">
        <v>2024</v>
      </c>
      <c r="B85" s="27" t="s">
        <v>216</v>
      </c>
      <c r="C85" s="31" t="n">
        <v>283</v>
      </c>
      <c r="D85" s="31" t="n">
        <v>1</v>
      </c>
      <c r="E85" s="31" t="n">
        <v>420</v>
      </c>
      <c r="F85" s="31" t="n">
        <v>216.4</v>
      </c>
      <c r="G85" s="31" t="n">
        <v>20</v>
      </c>
      <c r="H85" s="31" t="n">
        <v>470.6</v>
      </c>
      <c r="I85" s="27" t="s">
        <v>323</v>
      </c>
      <c r="J85" s="27"/>
    </row>
    <row r="86" customFormat="false" ht="15" hidden="false" customHeight="false" outlineLevel="0" collapsed="false">
      <c r="A86" s="31" t="n">
        <v>2024</v>
      </c>
      <c r="B86" s="27" t="s">
        <v>36</v>
      </c>
      <c r="C86" s="31" t="n">
        <v>247</v>
      </c>
      <c r="D86" s="31" t="n">
        <v>4</v>
      </c>
      <c r="E86" s="31" t="n">
        <v>600</v>
      </c>
      <c r="F86" s="31" t="n">
        <v>202.8</v>
      </c>
      <c r="G86" s="31" t="n">
        <v>21</v>
      </c>
      <c r="H86" s="31" t="n">
        <v>450.7</v>
      </c>
      <c r="I86" s="27" t="s">
        <v>323</v>
      </c>
      <c r="J86" s="27"/>
    </row>
    <row r="87" customFormat="false" ht="15" hidden="false" customHeight="false" outlineLevel="0" collapsed="false">
      <c r="A87" s="31" t="n">
        <v>2024</v>
      </c>
      <c r="B87" s="27" t="s">
        <v>208</v>
      </c>
      <c r="C87" s="31" t="n">
        <v>290</v>
      </c>
      <c r="D87" s="31" t="n">
        <v>1</v>
      </c>
      <c r="E87" s="31" t="n">
        <v>500</v>
      </c>
      <c r="F87" s="31" t="n">
        <v>220</v>
      </c>
      <c r="G87" s="31" t="n">
        <v>22</v>
      </c>
      <c r="H87" s="31" t="n">
        <v>391.3</v>
      </c>
      <c r="I87" s="27" t="s">
        <v>323</v>
      </c>
      <c r="J87" s="27"/>
    </row>
    <row r="88" customFormat="false" ht="15" hidden="false" customHeight="false" outlineLevel="0" collapsed="false">
      <c r="A88" s="31" t="n">
        <v>2024</v>
      </c>
      <c r="B88" s="27" t="s">
        <v>200</v>
      </c>
      <c r="C88" s="31" t="n">
        <v>245</v>
      </c>
      <c r="D88" s="31" t="n">
        <v>4</v>
      </c>
      <c r="E88" s="31" t="n">
        <v>420</v>
      </c>
      <c r="F88" s="31" t="n">
        <v>198.2</v>
      </c>
      <c r="G88" s="31" t="n">
        <v>23</v>
      </c>
      <c r="H88" s="31" t="n">
        <v>391</v>
      </c>
      <c r="I88" s="27" t="s">
        <v>323</v>
      </c>
      <c r="J88" s="27"/>
    </row>
    <row r="89" customFormat="false" ht="15" hidden="false" customHeight="false" outlineLevel="0" collapsed="false">
      <c r="A89" s="31" t="n">
        <v>2024</v>
      </c>
      <c r="B89" s="27" t="s">
        <v>168</v>
      </c>
      <c r="C89" s="31" t="n">
        <v>246</v>
      </c>
      <c r="D89" s="31" t="n">
        <v>1</v>
      </c>
      <c r="E89" s="31" t="n">
        <v>400</v>
      </c>
      <c r="F89" s="31" t="n">
        <v>264.9</v>
      </c>
      <c r="G89" s="31" t="n">
        <v>24</v>
      </c>
      <c r="H89" s="31" t="n">
        <v>373.3</v>
      </c>
      <c r="I89" s="27" t="s">
        <v>323</v>
      </c>
      <c r="J89" s="27"/>
    </row>
    <row r="90" customFormat="false" ht="15" hidden="false" customHeight="false" outlineLevel="0" collapsed="false">
      <c r="A90" s="31" t="n">
        <v>2024</v>
      </c>
      <c r="B90" s="27" t="s">
        <v>224</v>
      </c>
      <c r="C90" s="31" t="n">
        <v>285</v>
      </c>
      <c r="D90" s="31" t="n">
        <v>1</v>
      </c>
      <c r="E90" s="31" t="n">
        <v>375</v>
      </c>
      <c r="F90" s="31" t="n">
        <v>249.9</v>
      </c>
      <c r="G90" s="31" t="n">
        <v>25</v>
      </c>
      <c r="H90" s="31" t="n">
        <v>363.4</v>
      </c>
      <c r="I90" s="27" t="s">
        <v>323</v>
      </c>
      <c r="J90" s="27"/>
    </row>
    <row r="91" customFormat="false" ht="15" hidden="false" customHeight="false" outlineLevel="0" collapsed="false">
      <c r="A91" s="31" t="n">
        <v>2024</v>
      </c>
      <c r="B91" s="27" t="s">
        <v>167</v>
      </c>
      <c r="C91" s="31" t="n">
        <v>209</v>
      </c>
      <c r="D91" s="31" t="n">
        <v>1</v>
      </c>
      <c r="E91" s="31" t="n">
        <v>500</v>
      </c>
      <c r="F91" s="31" t="n">
        <v>224.1</v>
      </c>
      <c r="G91" s="31" t="n">
        <v>26</v>
      </c>
      <c r="H91" s="31" t="n">
        <v>356.1</v>
      </c>
      <c r="I91" s="27" t="s">
        <v>323</v>
      </c>
      <c r="J91" s="27"/>
    </row>
    <row r="92" customFormat="false" ht="15" hidden="false" customHeight="false" outlineLevel="0" collapsed="false">
      <c r="A92" s="31" t="n">
        <v>2024</v>
      </c>
      <c r="B92" s="27" t="s">
        <v>183</v>
      </c>
      <c r="C92" s="31" t="n">
        <v>230</v>
      </c>
      <c r="D92" s="31" t="n">
        <v>1</v>
      </c>
      <c r="E92" s="31" t="n">
        <v>600</v>
      </c>
      <c r="F92" s="31" t="n">
        <v>187.8</v>
      </c>
      <c r="G92" s="31" t="n">
        <v>27</v>
      </c>
      <c r="H92" s="31" t="n">
        <v>355.2</v>
      </c>
      <c r="I92" s="27" t="s">
        <v>323</v>
      </c>
      <c r="J92" s="27"/>
    </row>
    <row r="93" customFormat="false" ht="15" hidden="false" customHeight="false" outlineLevel="0" collapsed="false">
      <c r="A93" s="31" t="n">
        <v>2024</v>
      </c>
      <c r="B93" s="27" t="s">
        <v>199</v>
      </c>
      <c r="C93" s="31" t="n">
        <v>263</v>
      </c>
      <c r="D93" s="31" t="n">
        <v>1</v>
      </c>
      <c r="E93" s="31" t="n">
        <v>300</v>
      </c>
      <c r="F93" s="31" t="n">
        <v>264</v>
      </c>
      <c r="G93" s="31" t="n">
        <v>28</v>
      </c>
      <c r="H93" s="31" t="n">
        <v>355.1</v>
      </c>
      <c r="I93" s="27" t="s">
        <v>323</v>
      </c>
      <c r="J93" s="27"/>
    </row>
    <row r="94" customFormat="false" ht="15" hidden="false" customHeight="false" outlineLevel="0" collapsed="false">
      <c r="A94" s="31" t="n">
        <v>2024</v>
      </c>
      <c r="B94" s="27" t="s">
        <v>169</v>
      </c>
      <c r="C94" s="31" t="n">
        <v>233</v>
      </c>
      <c r="D94" s="31" t="n">
        <v>4</v>
      </c>
      <c r="E94" s="31" t="n">
        <v>575</v>
      </c>
      <c r="F94" s="31" t="n">
        <v>195.5</v>
      </c>
      <c r="G94" s="31" t="n">
        <v>29</v>
      </c>
      <c r="H94" s="31" t="n">
        <v>299.3</v>
      </c>
      <c r="I94" s="27" t="s">
        <v>323</v>
      </c>
      <c r="J94" s="27"/>
    </row>
    <row r="95" customFormat="false" ht="15" hidden="false" customHeight="false" outlineLevel="0" collapsed="false">
      <c r="A95" s="31" t="n">
        <v>2024</v>
      </c>
      <c r="B95" s="27" t="s">
        <v>327</v>
      </c>
      <c r="C95" s="31" t="n">
        <v>216</v>
      </c>
      <c r="D95" s="31" t="n">
        <v>1</v>
      </c>
      <c r="E95" s="31" t="n">
        <v>475</v>
      </c>
      <c r="F95" s="31" t="n">
        <v>240</v>
      </c>
      <c r="G95" s="31" t="n">
        <v>30</v>
      </c>
      <c r="H95" s="31" t="n">
        <v>297.7</v>
      </c>
      <c r="I95" s="27" t="s">
        <v>323</v>
      </c>
      <c r="J95" s="27"/>
    </row>
    <row r="96" customFormat="false" ht="15" hidden="false" customHeight="false" outlineLevel="0" collapsed="false">
      <c r="A96" s="31" t="n">
        <v>2024</v>
      </c>
      <c r="B96" s="27" t="s">
        <v>222</v>
      </c>
      <c r="C96" s="31" t="n">
        <v>214</v>
      </c>
      <c r="D96" s="31" t="n">
        <v>2</v>
      </c>
      <c r="E96" s="31" t="n">
        <v>400</v>
      </c>
      <c r="F96" s="31" t="n">
        <v>230</v>
      </c>
      <c r="G96" s="31" t="n">
        <v>31</v>
      </c>
      <c r="H96" s="31" t="n">
        <v>296.8</v>
      </c>
      <c r="I96" s="27" t="s">
        <v>323</v>
      </c>
      <c r="J96" s="27"/>
    </row>
    <row r="97" customFormat="false" ht="15" hidden="false" customHeight="false" outlineLevel="0" collapsed="false">
      <c r="A97" s="31" t="n">
        <v>2024</v>
      </c>
      <c r="B97" s="27" t="s">
        <v>170</v>
      </c>
      <c r="C97" s="31" t="n">
        <v>243</v>
      </c>
      <c r="D97" s="31" t="n">
        <v>2</v>
      </c>
      <c r="E97" s="31" t="n">
        <v>320</v>
      </c>
      <c r="F97" s="31" t="n">
        <v>219.1</v>
      </c>
      <c r="G97" s="31" t="n">
        <v>32</v>
      </c>
      <c r="H97" s="31" t="n">
        <v>278.1</v>
      </c>
      <c r="I97" s="27" t="s">
        <v>323</v>
      </c>
      <c r="J97" s="27"/>
    </row>
    <row r="98" customFormat="false" ht="15" hidden="false" customHeight="false" outlineLevel="0" collapsed="false">
      <c r="A98" s="31" t="n">
        <v>2024</v>
      </c>
      <c r="B98" s="27" t="s">
        <v>202</v>
      </c>
      <c r="C98" s="31" t="n">
        <v>271</v>
      </c>
      <c r="D98" s="31" t="n">
        <v>1</v>
      </c>
      <c r="E98" s="31" t="n">
        <v>590</v>
      </c>
      <c r="F98" s="31" t="n">
        <v>250.4</v>
      </c>
      <c r="G98" s="31" t="n">
        <v>33</v>
      </c>
      <c r="H98" s="31" t="n">
        <v>241.4</v>
      </c>
      <c r="I98" s="27" t="s">
        <v>323</v>
      </c>
      <c r="J98" s="27"/>
    </row>
    <row r="99" customFormat="false" ht="15" hidden="false" customHeight="false" outlineLevel="0" collapsed="false">
      <c r="A99" s="31" t="n">
        <v>2024</v>
      </c>
      <c r="B99" s="27" t="s">
        <v>325</v>
      </c>
      <c r="C99" s="31" t="n">
        <v>249</v>
      </c>
      <c r="D99" s="31" t="n">
        <v>4</v>
      </c>
      <c r="E99" s="31" t="n">
        <v>600</v>
      </c>
      <c r="F99" s="31" t="n">
        <v>219.6</v>
      </c>
      <c r="G99" s="31" t="n">
        <v>34</v>
      </c>
      <c r="H99" s="31" t="n">
        <v>234.6</v>
      </c>
      <c r="I99" s="27" t="s">
        <v>323</v>
      </c>
      <c r="J99" s="27"/>
    </row>
    <row r="100" customFormat="false" ht="15" hidden="false" customHeight="false" outlineLevel="0" collapsed="false">
      <c r="A100" s="31" t="n">
        <v>2024</v>
      </c>
      <c r="B100" s="27" t="s">
        <v>193</v>
      </c>
      <c r="C100" s="31" t="n">
        <v>227</v>
      </c>
      <c r="D100" s="31" t="n">
        <v>1</v>
      </c>
      <c r="E100" s="31" t="n">
        <v>400</v>
      </c>
      <c r="F100" s="31" t="n">
        <v>212.3</v>
      </c>
      <c r="G100" s="31" t="n">
        <v>35</v>
      </c>
      <c r="H100" s="31" t="n">
        <v>230.2</v>
      </c>
      <c r="I100" s="27" t="s">
        <v>323</v>
      </c>
      <c r="J100" s="27"/>
    </row>
    <row r="101" customFormat="false" ht="15" hidden="false" customHeight="false" outlineLevel="0" collapsed="false">
      <c r="A101" s="31" t="n">
        <v>2024</v>
      </c>
      <c r="B101" s="27" t="s">
        <v>160</v>
      </c>
      <c r="C101" s="31" t="n">
        <v>207</v>
      </c>
      <c r="D101" s="31" t="n">
        <v>1</v>
      </c>
      <c r="E101" s="31" t="n">
        <v>545</v>
      </c>
      <c r="F101" s="31" t="n">
        <v>213.5</v>
      </c>
      <c r="G101" s="31" t="n">
        <v>36</v>
      </c>
      <c r="H101" s="31" t="n">
        <v>207.5</v>
      </c>
      <c r="I101" s="27" t="s">
        <v>323</v>
      </c>
      <c r="J101" s="27"/>
    </row>
    <row r="102" customFormat="false" ht="15" hidden="false" customHeight="false" outlineLevel="0" collapsed="false">
      <c r="A102" s="31" t="n">
        <v>2024</v>
      </c>
      <c r="B102" s="27" t="s">
        <v>191</v>
      </c>
      <c r="C102" s="31" t="n">
        <v>229</v>
      </c>
      <c r="D102" s="31" t="n">
        <v>1</v>
      </c>
      <c r="E102" s="31" t="n">
        <v>440</v>
      </c>
      <c r="F102" s="31" t="n">
        <v>233.5</v>
      </c>
      <c r="G102" s="31" t="n">
        <v>37</v>
      </c>
      <c r="H102" s="31" t="n">
        <v>202</v>
      </c>
      <c r="I102" s="27" t="s">
        <v>323</v>
      </c>
      <c r="J102" s="27"/>
    </row>
    <row r="103" customFormat="false" ht="15" hidden="false" customHeight="false" outlineLevel="0" collapsed="false">
      <c r="A103" s="31" t="n">
        <v>2024</v>
      </c>
      <c r="B103" s="27" t="s">
        <v>210</v>
      </c>
      <c r="C103" s="31" t="n">
        <v>277</v>
      </c>
      <c r="D103" s="31" t="n">
        <v>1</v>
      </c>
      <c r="E103" s="31" t="n">
        <v>590</v>
      </c>
      <c r="F103" s="31" t="n">
        <v>286.2</v>
      </c>
      <c r="G103" s="31" t="n">
        <v>38</v>
      </c>
      <c r="H103" s="31" t="n">
        <v>199.2</v>
      </c>
      <c r="I103" s="27" t="s">
        <v>323</v>
      </c>
      <c r="J103" s="27"/>
    </row>
    <row r="104" customFormat="false" ht="15" hidden="false" customHeight="false" outlineLevel="0" collapsed="false">
      <c r="A104" s="31" t="n">
        <v>2024</v>
      </c>
      <c r="B104" s="27" t="s">
        <v>194</v>
      </c>
      <c r="C104" s="31" t="n">
        <v>272</v>
      </c>
      <c r="D104" s="31" t="n">
        <v>1</v>
      </c>
      <c r="E104" s="31" t="n">
        <v>380</v>
      </c>
      <c r="F104" s="31" t="n">
        <v>239.5</v>
      </c>
      <c r="G104" s="31" t="n">
        <v>39</v>
      </c>
      <c r="H104" s="31" t="n">
        <v>196.1</v>
      </c>
      <c r="I104" s="27" t="s">
        <v>323</v>
      </c>
      <c r="J104" s="27"/>
    </row>
    <row r="105" customFormat="false" ht="15" hidden="false" customHeight="false" outlineLevel="0" collapsed="false">
      <c r="A105" s="31" t="n">
        <v>2024</v>
      </c>
      <c r="B105" s="27" t="s">
        <v>184</v>
      </c>
      <c r="C105" s="31" t="n">
        <v>237</v>
      </c>
      <c r="D105" s="31" t="n">
        <v>1</v>
      </c>
      <c r="E105" s="31" t="n">
        <v>470</v>
      </c>
      <c r="F105" s="31" t="n">
        <v>215.5</v>
      </c>
      <c r="G105" s="31" t="n">
        <v>40</v>
      </c>
      <c r="H105" s="31" t="n">
        <v>194.7</v>
      </c>
      <c r="I105" s="27" t="s">
        <v>323</v>
      </c>
      <c r="J105" s="27"/>
    </row>
    <row r="106" customFormat="false" ht="15" hidden="false" customHeight="false" outlineLevel="0" collapsed="false">
      <c r="A106" s="31" t="n">
        <v>2024</v>
      </c>
      <c r="B106" s="27" t="s">
        <v>201</v>
      </c>
      <c r="C106" s="31" t="n">
        <v>224</v>
      </c>
      <c r="D106" s="31" t="n">
        <v>1</v>
      </c>
      <c r="E106" s="31" t="n">
        <v>350</v>
      </c>
      <c r="F106" s="31" t="n">
        <v>244</v>
      </c>
      <c r="G106" s="31" t="n">
        <v>41</v>
      </c>
      <c r="H106" s="31" t="n">
        <v>176</v>
      </c>
      <c r="I106" s="27" t="s">
        <v>323</v>
      </c>
      <c r="J106" s="27"/>
    </row>
    <row r="107" customFormat="false" ht="15" hidden="false" customHeight="false" outlineLevel="0" collapsed="false">
      <c r="A107" s="31" t="n">
        <v>2024</v>
      </c>
      <c r="B107" s="27" t="s">
        <v>159</v>
      </c>
      <c r="C107" s="31" t="n">
        <v>289</v>
      </c>
      <c r="D107" s="31" t="n">
        <v>1</v>
      </c>
      <c r="E107" s="31" t="n">
        <v>590</v>
      </c>
      <c r="F107" s="31" t="n">
        <v>176</v>
      </c>
      <c r="G107" s="31" t="n">
        <v>42</v>
      </c>
      <c r="H107" s="31" t="n">
        <v>175.8</v>
      </c>
      <c r="I107" s="27" t="s">
        <v>323</v>
      </c>
      <c r="J107" s="27"/>
    </row>
    <row r="108" customFormat="false" ht="15" hidden="false" customHeight="false" outlineLevel="0" collapsed="false">
      <c r="A108" s="31" t="n">
        <v>2024</v>
      </c>
      <c r="B108" s="27" t="s">
        <v>189</v>
      </c>
      <c r="C108" s="31" t="n">
        <v>261</v>
      </c>
      <c r="D108" s="31" t="n">
        <v>1</v>
      </c>
      <c r="E108" s="31" t="n">
        <v>480</v>
      </c>
      <c r="F108" s="31" t="n">
        <v>207.3</v>
      </c>
      <c r="G108" s="31" t="n">
        <v>43</v>
      </c>
      <c r="H108" s="31" t="n">
        <v>175.6</v>
      </c>
      <c r="I108" s="27" t="s">
        <v>323</v>
      </c>
      <c r="J108" s="27"/>
    </row>
    <row r="109" customFormat="false" ht="15" hidden="false" customHeight="false" outlineLevel="0" collapsed="false">
      <c r="A109" s="31" t="n">
        <v>2024</v>
      </c>
      <c r="B109" s="27" t="s">
        <v>223</v>
      </c>
      <c r="C109" s="31" t="n">
        <v>242</v>
      </c>
      <c r="D109" s="31" t="n">
        <v>1</v>
      </c>
      <c r="E109" s="31" t="n">
        <v>500</v>
      </c>
      <c r="F109" s="31" t="n">
        <v>264</v>
      </c>
      <c r="G109" s="31" t="n">
        <v>44</v>
      </c>
      <c r="H109" s="31" t="n">
        <v>171</v>
      </c>
      <c r="I109" s="27" t="s">
        <v>323</v>
      </c>
      <c r="J109" s="27"/>
    </row>
    <row r="110" customFormat="false" ht="15" hidden="false" customHeight="false" outlineLevel="0" collapsed="false">
      <c r="A110" s="31" t="n">
        <v>2024</v>
      </c>
      <c r="B110" s="27" t="s">
        <v>240</v>
      </c>
      <c r="C110" s="31" t="n">
        <v>287</v>
      </c>
      <c r="D110" s="31" t="n">
        <v>1</v>
      </c>
      <c r="E110" s="31" t="n">
        <v>355</v>
      </c>
      <c r="F110" s="31" t="n">
        <v>228.4</v>
      </c>
      <c r="G110" s="31" t="n">
        <v>45</v>
      </c>
      <c r="H110" s="31" t="n">
        <v>169.3</v>
      </c>
      <c r="I110" s="27" t="s">
        <v>323</v>
      </c>
      <c r="J110" s="27"/>
    </row>
    <row r="111" customFormat="false" ht="15" hidden="false" customHeight="false" outlineLevel="0" collapsed="false">
      <c r="A111" s="31" t="n">
        <v>2024</v>
      </c>
      <c r="B111" s="27" t="s">
        <v>211</v>
      </c>
      <c r="C111" s="31" t="n">
        <v>262</v>
      </c>
      <c r="D111" s="31" t="n">
        <v>2</v>
      </c>
      <c r="E111" s="31" t="n">
        <v>600</v>
      </c>
      <c r="F111" s="31" t="n">
        <v>235.3</v>
      </c>
      <c r="G111" s="31" t="n">
        <v>46</v>
      </c>
      <c r="H111" s="31" t="n">
        <v>166</v>
      </c>
      <c r="I111" s="27" t="s">
        <v>323</v>
      </c>
      <c r="J111" s="27"/>
    </row>
    <row r="112" customFormat="false" ht="15" hidden="false" customHeight="false" outlineLevel="0" collapsed="false">
      <c r="A112" s="31" t="n">
        <v>2024</v>
      </c>
      <c r="B112" s="27" t="s">
        <v>187</v>
      </c>
      <c r="C112" s="31" t="n">
        <v>251</v>
      </c>
      <c r="D112" s="31" t="n">
        <v>1</v>
      </c>
      <c r="E112" s="31" t="n">
        <v>400</v>
      </c>
      <c r="F112" s="31" t="n">
        <v>171.8</v>
      </c>
      <c r="G112" s="31" t="n">
        <v>47</v>
      </c>
      <c r="H112" s="31" t="n">
        <v>163.7</v>
      </c>
      <c r="I112" s="27" t="s">
        <v>323</v>
      </c>
      <c r="J112" s="27"/>
    </row>
    <row r="113" customFormat="false" ht="15" hidden="false" customHeight="false" outlineLevel="0" collapsed="false">
      <c r="A113" s="31" t="n">
        <v>2024</v>
      </c>
      <c r="B113" s="27" t="s">
        <v>215</v>
      </c>
      <c r="C113" s="31" t="n">
        <v>234</v>
      </c>
      <c r="D113" s="31" t="n">
        <v>1</v>
      </c>
      <c r="E113" s="31" t="n">
        <v>375</v>
      </c>
      <c r="F113" s="31" t="n">
        <v>239.4</v>
      </c>
      <c r="G113" s="31" t="n">
        <v>48</v>
      </c>
      <c r="H113" s="31" t="n">
        <v>154.9</v>
      </c>
      <c r="I113" s="27" t="s">
        <v>323</v>
      </c>
      <c r="J113" s="27"/>
    </row>
    <row r="114" customFormat="false" ht="15" hidden="false" customHeight="false" outlineLevel="0" collapsed="false">
      <c r="A114" s="31" t="n">
        <v>2024</v>
      </c>
      <c r="B114" s="27" t="s">
        <v>329</v>
      </c>
      <c r="C114" s="31" t="n">
        <v>240</v>
      </c>
      <c r="D114" s="31" t="n">
        <v>1</v>
      </c>
      <c r="E114" s="31" t="n">
        <v>400</v>
      </c>
      <c r="F114" s="31" t="n">
        <v>239.5</v>
      </c>
      <c r="G114" s="31" t="n">
        <v>49</v>
      </c>
      <c r="H114" s="31" t="n">
        <v>151.8</v>
      </c>
      <c r="I114" s="27" t="s">
        <v>323</v>
      </c>
      <c r="J114" s="27"/>
    </row>
    <row r="115" customFormat="false" ht="15" hidden="false" customHeight="false" outlineLevel="0" collapsed="false">
      <c r="A115" s="31" t="n">
        <v>2024</v>
      </c>
      <c r="B115" s="27" t="s">
        <v>204</v>
      </c>
      <c r="C115" s="31" t="n">
        <v>258</v>
      </c>
      <c r="D115" s="31" t="n">
        <v>1</v>
      </c>
      <c r="E115" s="31" t="n">
        <v>400</v>
      </c>
      <c r="F115" s="31" t="n">
        <v>229.5</v>
      </c>
      <c r="G115" s="31" t="n">
        <v>50</v>
      </c>
      <c r="H115" s="31" t="n">
        <v>151.4</v>
      </c>
      <c r="I115" s="27" t="s">
        <v>323</v>
      </c>
      <c r="J115" s="27"/>
    </row>
    <row r="116" customFormat="false" ht="15" hidden="false" customHeight="false" outlineLevel="0" collapsed="false">
      <c r="A116" s="31" t="n">
        <v>2024</v>
      </c>
      <c r="B116" s="27" t="s">
        <v>190</v>
      </c>
      <c r="C116" s="31" t="n">
        <v>236</v>
      </c>
      <c r="D116" s="31" t="n">
        <v>1</v>
      </c>
      <c r="E116" s="31" t="n">
        <v>400</v>
      </c>
      <c r="F116" s="31" t="n">
        <v>262.8</v>
      </c>
      <c r="G116" s="31" t="n">
        <v>51</v>
      </c>
      <c r="H116" s="31" t="n">
        <v>149.5</v>
      </c>
      <c r="I116" s="27" t="s">
        <v>323</v>
      </c>
      <c r="J116" s="27"/>
    </row>
    <row r="117" customFormat="false" ht="15" hidden="false" customHeight="false" outlineLevel="0" collapsed="false">
      <c r="A117" s="31" t="n">
        <v>2024</v>
      </c>
      <c r="B117" s="27" t="s">
        <v>330</v>
      </c>
      <c r="C117" s="31" t="n">
        <v>298</v>
      </c>
      <c r="D117" s="31" t="n">
        <v>1</v>
      </c>
      <c r="E117" s="31" t="n">
        <v>400</v>
      </c>
      <c r="F117" s="31" t="n">
        <v>259.5</v>
      </c>
      <c r="G117" s="31" t="n">
        <v>52</v>
      </c>
      <c r="H117" s="31" t="n">
        <v>148.7</v>
      </c>
      <c r="I117" s="27" t="s">
        <v>323</v>
      </c>
      <c r="J117" s="27"/>
    </row>
    <row r="118" customFormat="false" ht="15" hidden="false" customHeight="false" outlineLevel="0" collapsed="false">
      <c r="A118" s="31" t="n">
        <v>2024</v>
      </c>
      <c r="B118" s="27" t="s">
        <v>221</v>
      </c>
      <c r="C118" s="31" t="n">
        <v>220</v>
      </c>
      <c r="D118" s="31" t="n">
        <v>1</v>
      </c>
      <c r="E118" s="31" t="n">
        <v>375</v>
      </c>
      <c r="F118" s="31" t="n">
        <v>248.6</v>
      </c>
      <c r="G118" s="31" t="n">
        <v>53</v>
      </c>
      <c r="H118" s="31" t="n">
        <v>145.6</v>
      </c>
      <c r="I118" s="27" t="s">
        <v>323</v>
      </c>
      <c r="J118" s="27"/>
    </row>
    <row r="119" customFormat="false" ht="15" hidden="false" customHeight="false" outlineLevel="0" collapsed="false">
      <c r="A119" s="31" t="n">
        <v>2024</v>
      </c>
      <c r="B119" s="27" t="s">
        <v>247</v>
      </c>
      <c r="C119" s="31" t="n">
        <v>244</v>
      </c>
      <c r="D119" s="31" t="n">
        <v>1</v>
      </c>
      <c r="E119" s="31" t="n">
        <v>400</v>
      </c>
      <c r="F119" s="31" t="n">
        <v>218.2</v>
      </c>
      <c r="G119" s="31" t="n">
        <v>54</v>
      </c>
      <c r="H119" s="31" t="n">
        <v>144.9</v>
      </c>
      <c r="I119" s="27" t="s">
        <v>323</v>
      </c>
      <c r="J119" s="27"/>
    </row>
    <row r="120" customFormat="false" ht="15" hidden="false" customHeight="false" outlineLevel="0" collapsed="false">
      <c r="A120" s="31" t="n">
        <v>2024</v>
      </c>
      <c r="B120" s="27" t="s">
        <v>217</v>
      </c>
      <c r="C120" s="31" t="n">
        <v>291</v>
      </c>
      <c r="D120" s="31" t="n">
        <v>1</v>
      </c>
      <c r="E120" s="31" t="n">
        <v>590</v>
      </c>
      <c r="F120" s="31" t="n">
        <v>208.2</v>
      </c>
      <c r="G120" s="31" t="n">
        <v>55</v>
      </c>
      <c r="H120" s="31" t="n">
        <v>140.5</v>
      </c>
      <c r="I120" s="27" t="s">
        <v>323</v>
      </c>
      <c r="J120" s="27"/>
    </row>
    <row r="121" customFormat="false" ht="15" hidden="false" customHeight="false" outlineLevel="0" collapsed="false">
      <c r="A121" s="31" t="n">
        <v>2024</v>
      </c>
      <c r="B121" s="27" t="s">
        <v>197</v>
      </c>
      <c r="C121" s="31" t="n">
        <v>284</v>
      </c>
      <c r="D121" s="31" t="n">
        <v>1</v>
      </c>
      <c r="E121" s="31" t="n">
        <v>400</v>
      </c>
      <c r="F121" s="31" t="n">
        <v>247.2</v>
      </c>
      <c r="G121" s="31" t="n">
        <v>57</v>
      </c>
      <c r="H121" s="31" t="n">
        <v>137.2</v>
      </c>
      <c r="I121" s="27" t="s">
        <v>323</v>
      </c>
      <c r="J121" s="27"/>
    </row>
    <row r="122" customFormat="false" ht="15" hidden="false" customHeight="false" outlineLevel="0" collapsed="false">
      <c r="A122" s="31" t="n">
        <v>2024</v>
      </c>
      <c r="B122" s="27" t="s">
        <v>239</v>
      </c>
      <c r="C122" s="31" t="n">
        <v>280</v>
      </c>
      <c r="D122" s="31" t="n">
        <v>1</v>
      </c>
      <c r="E122" s="31" t="n">
        <v>400</v>
      </c>
      <c r="F122" s="31" t="n">
        <v>251.4</v>
      </c>
      <c r="G122" s="31" t="n">
        <v>58</v>
      </c>
      <c r="H122" s="31" t="n">
        <v>134.9</v>
      </c>
      <c r="I122" s="27" t="s">
        <v>323</v>
      </c>
      <c r="J122" s="27"/>
    </row>
    <row r="123" customFormat="false" ht="15" hidden="false" customHeight="false" outlineLevel="0" collapsed="false">
      <c r="A123" s="31" t="n">
        <v>2024</v>
      </c>
      <c r="B123" s="27" t="s">
        <v>331</v>
      </c>
      <c r="C123" s="31" t="n">
        <v>273</v>
      </c>
      <c r="D123" s="31" t="n">
        <v>1</v>
      </c>
      <c r="E123" s="31" t="n">
        <v>590</v>
      </c>
      <c r="F123" s="31" t="n">
        <v>250.8</v>
      </c>
      <c r="G123" s="31" t="n">
        <v>59</v>
      </c>
      <c r="H123" s="31" t="n">
        <v>133.6</v>
      </c>
      <c r="I123" s="27" t="s">
        <v>323</v>
      </c>
      <c r="J123" s="27"/>
    </row>
    <row r="124" customFormat="false" ht="15" hidden="false" customHeight="false" outlineLevel="0" collapsed="false">
      <c r="A124" s="31" t="n">
        <v>2024</v>
      </c>
      <c r="B124" s="27" t="s">
        <v>228</v>
      </c>
      <c r="C124" s="31" t="n">
        <v>269</v>
      </c>
      <c r="D124" s="31" t="n">
        <v>1</v>
      </c>
      <c r="E124" s="31" t="n">
        <v>535</v>
      </c>
      <c r="F124" s="31" t="n">
        <v>236.8</v>
      </c>
      <c r="G124" s="31" t="n">
        <v>60</v>
      </c>
      <c r="H124" s="31" t="n">
        <v>126.9</v>
      </c>
      <c r="I124" s="27" t="s">
        <v>323</v>
      </c>
      <c r="J124" s="27"/>
    </row>
    <row r="125" customFormat="false" ht="15" hidden="false" customHeight="false" outlineLevel="0" collapsed="false">
      <c r="A125" s="31" t="n">
        <v>2024</v>
      </c>
      <c r="B125" s="27" t="s">
        <v>332</v>
      </c>
      <c r="C125" s="31" t="n">
        <v>232</v>
      </c>
      <c r="D125" s="31" t="n">
        <v>1</v>
      </c>
      <c r="E125" s="31" t="n">
        <v>500</v>
      </c>
      <c r="F125" s="31" t="n">
        <v>230.4</v>
      </c>
      <c r="G125" s="31" t="n">
        <v>61</v>
      </c>
      <c r="H125" s="31" t="n">
        <v>126.4</v>
      </c>
      <c r="I125" s="27" t="s">
        <v>323</v>
      </c>
      <c r="J125" s="27"/>
    </row>
    <row r="126" customFormat="false" ht="15" hidden="false" customHeight="false" outlineLevel="0" collapsed="false">
      <c r="A126" s="31" t="n">
        <v>2024</v>
      </c>
      <c r="B126" s="27" t="s">
        <v>195</v>
      </c>
      <c r="C126" s="31" t="n">
        <v>279</v>
      </c>
      <c r="D126" s="31" t="n">
        <v>1</v>
      </c>
      <c r="E126" s="31" t="n">
        <v>535</v>
      </c>
      <c r="F126" s="31" t="n">
        <v>297.4</v>
      </c>
      <c r="G126" s="31" t="n">
        <v>62</v>
      </c>
      <c r="H126" s="31" t="n">
        <v>116.7</v>
      </c>
      <c r="I126" s="27" t="s">
        <v>323</v>
      </c>
      <c r="J126" s="27"/>
    </row>
    <row r="127" customFormat="false" ht="15" hidden="false" customHeight="false" outlineLevel="0" collapsed="false">
      <c r="A127" s="31" t="n">
        <v>2024</v>
      </c>
      <c r="B127" s="27" t="s">
        <v>253</v>
      </c>
      <c r="C127" s="31" t="n">
        <v>253</v>
      </c>
      <c r="D127" s="31" t="n">
        <v>1</v>
      </c>
      <c r="E127" s="31" t="n">
        <v>400</v>
      </c>
      <c r="F127" s="31" t="n">
        <v>292.7</v>
      </c>
      <c r="G127" s="31" t="n">
        <v>63</v>
      </c>
      <c r="H127" s="31" t="n">
        <v>116.5</v>
      </c>
      <c r="I127" s="27" t="s">
        <v>323</v>
      </c>
      <c r="J127" s="27"/>
    </row>
    <row r="128" customFormat="false" ht="15" hidden="false" customHeight="false" outlineLevel="0" collapsed="false">
      <c r="A128" s="31" t="n">
        <v>2024</v>
      </c>
      <c r="B128" s="27" t="s">
        <v>188</v>
      </c>
      <c r="C128" s="31" t="n">
        <v>248</v>
      </c>
      <c r="D128" s="31" t="n">
        <v>1</v>
      </c>
      <c r="E128" s="31" t="n">
        <v>600</v>
      </c>
      <c r="F128" s="31" t="n">
        <v>247.3</v>
      </c>
      <c r="G128" s="31" t="n">
        <v>64</v>
      </c>
      <c r="H128" s="31" t="n">
        <v>108</v>
      </c>
      <c r="I128" s="27" t="s">
        <v>323</v>
      </c>
      <c r="J128" s="27"/>
    </row>
    <row r="129" customFormat="false" ht="15" hidden="false" customHeight="false" outlineLevel="0" collapsed="false">
      <c r="A129" s="31" t="n">
        <v>2024</v>
      </c>
      <c r="B129" s="27" t="s">
        <v>213</v>
      </c>
      <c r="C129" s="31" t="n">
        <v>264</v>
      </c>
      <c r="D129" s="31" t="n">
        <v>1</v>
      </c>
      <c r="E129" s="31" t="n">
        <v>335</v>
      </c>
      <c r="F129" s="31" t="n">
        <v>197.8</v>
      </c>
      <c r="G129" s="31" t="n">
        <v>65</v>
      </c>
      <c r="H129" s="31" t="n">
        <v>106.9</v>
      </c>
      <c r="I129" s="27" t="s">
        <v>323</v>
      </c>
      <c r="J129" s="27"/>
    </row>
    <row r="130" customFormat="false" ht="15" hidden="false" customHeight="false" outlineLevel="0" collapsed="false">
      <c r="A130" s="31" t="n">
        <v>2024</v>
      </c>
      <c r="B130" s="27" t="s">
        <v>235</v>
      </c>
      <c r="C130" s="31" t="n">
        <v>254</v>
      </c>
      <c r="D130" s="31" t="n">
        <v>1</v>
      </c>
      <c r="E130" s="31" t="n">
        <v>300</v>
      </c>
      <c r="F130" s="31" t="n">
        <v>256.6</v>
      </c>
      <c r="G130" s="31" t="n">
        <v>67</v>
      </c>
      <c r="H130" s="31" t="n">
        <v>56.6</v>
      </c>
      <c r="I130" s="27" t="s">
        <v>323</v>
      </c>
      <c r="J130" s="27"/>
    </row>
    <row r="131" customFormat="false" ht="15" hidden="false" customHeight="false" outlineLevel="0" collapsed="false">
      <c r="A131" s="31" t="n">
        <v>2024</v>
      </c>
      <c r="B131" s="27" t="s">
        <v>333</v>
      </c>
      <c r="C131" s="31" t="n">
        <v>241</v>
      </c>
      <c r="D131" s="31" t="n">
        <v>2</v>
      </c>
      <c r="E131" s="31" t="n">
        <v>450</v>
      </c>
      <c r="F131" s="31" t="n">
        <v>188.2</v>
      </c>
      <c r="G131" s="31" t="n">
        <v>68</v>
      </c>
      <c r="H131" s="31" t="n">
        <v>52</v>
      </c>
      <c r="I131" s="27" t="s">
        <v>323</v>
      </c>
      <c r="J131" s="27"/>
    </row>
    <row r="132" customFormat="false" ht="15" hidden="false" customHeight="false" outlineLevel="0" collapsed="false">
      <c r="A132" s="31" t="n">
        <v>2025</v>
      </c>
      <c r="B132" s="27" t="s">
        <v>36</v>
      </c>
      <c r="C132" s="31" t="n">
        <v>275</v>
      </c>
      <c r="D132" s="31" t="n">
        <v>4</v>
      </c>
      <c r="E132" s="31" t="n">
        <v>365</v>
      </c>
      <c r="F132" s="31" t="n">
        <v>220.4</v>
      </c>
      <c r="G132" s="31" t="n">
        <v>1</v>
      </c>
      <c r="H132" s="31" t="n">
        <v>790.4</v>
      </c>
      <c r="I132" s="27" t="s">
        <v>323</v>
      </c>
      <c r="J132" s="27"/>
    </row>
    <row r="133" customFormat="false" ht="15" hidden="false" customHeight="false" outlineLevel="0" collapsed="false">
      <c r="A133" s="31" t="n">
        <v>2025</v>
      </c>
      <c r="B133" s="27" t="s">
        <v>149</v>
      </c>
      <c r="C133" s="31" t="n">
        <v>205</v>
      </c>
      <c r="D133" s="31" t="n">
        <v>1</v>
      </c>
      <c r="E133" s="31" t="n">
        <v>350</v>
      </c>
      <c r="F133" s="31" t="n">
        <v>205.5</v>
      </c>
      <c r="G133" s="31" t="n">
        <v>2</v>
      </c>
      <c r="H133" s="31" t="n">
        <v>785.2</v>
      </c>
      <c r="I133" s="27" t="s">
        <v>323</v>
      </c>
      <c r="J133" s="27"/>
    </row>
    <row r="134" customFormat="false" ht="15" hidden="false" customHeight="false" outlineLevel="0" collapsed="false">
      <c r="A134" s="31" t="n">
        <v>2025</v>
      </c>
      <c r="B134" s="27" t="s">
        <v>150</v>
      </c>
      <c r="C134" s="31" t="n">
        <v>204</v>
      </c>
      <c r="D134" s="31" t="n">
        <v>4</v>
      </c>
      <c r="E134" s="31" t="n">
        <v>350</v>
      </c>
      <c r="F134" s="31" t="n">
        <v>191.9</v>
      </c>
      <c r="G134" s="31" t="n">
        <v>3</v>
      </c>
      <c r="H134" s="31" t="n">
        <v>772.2</v>
      </c>
      <c r="I134" s="27" t="s">
        <v>323</v>
      </c>
      <c r="J134" s="27"/>
    </row>
    <row r="135" customFormat="false" ht="15" hidden="false" customHeight="false" outlineLevel="0" collapsed="false">
      <c r="A135" s="31" t="n">
        <v>2025</v>
      </c>
      <c r="B135" s="27" t="s">
        <v>33</v>
      </c>
      <c r="C135" s="31" t="n">
        <v>202</v>
      </c>
      <c r="D135" s="31" t="n">
        <v>1</v>
      </c>
      <c r="E135" s="31" t="n">
        <v>520</v>
      </c>
      <c r="F135" s="31" t="n">
        <v>200.9</v>
      </c>
      <c r="G135" s="31" t="n">
        <v>4</v>
      </c>
      <c r="H135" s="31" t="n">
        <v>756.1</v>
      </c>
      <c r="I135" s="27" t="s">
        <v>323</v>
      </c>
      <c r="J135" s="27"/>
    </row>
    <row r="136" customFormat="false" ht="15" hidden="false" customHeight="false" outlineLevel="0" collapsed="false">
      <c r="A136" s="31" t="n">
        <v>2025</v>
      </c>
      <c r="B136" s="27" t="s">
        <v>151</v>
      </c>
      <c r="C136" s="31" t="n">
        <v>208</v>
      </c>
      <c r="D136" s="31" t="n">
        <v>4</v>
      </c>
      <c r="E136" s="31" t="n">
        <v>310</v>
      </c>
      <c r="F136" s="31" t="n">
        <v>210</v>
      </c>
      <c r="G136" s="31" t="n">
        <v>5</v>
      </c>
      <c r="H136" s="31" t="n">
        <v>753.5</v>
      </c>
      <c r="I136" s="27" t="s">
        <v>323</v>
      </c>
      <c r="J136" s="27"/>
    </row>
    <row r="137" customFormat="false" ht="15" hidden="false" customHeight="false" outlineLevel="0" collapsed="false">
      <c r="A137" s="31" t="n">
        <v>2025</v>
      </c>
      <c r="B137" s="27" t="s">
        <v>153</v>
      </c>
      <c r="C137" s="31" t="n">
        <v>209</v>
      </c>
      <c r="D137" s="31" t="n">
        <v>1</v>
      </c>
      <c r="E137" s="31" t="n">
        <v>588</v>
      </c>
      <c r="F137" s="31" t="n">
        <v>204.1</v>
      </c>
      <c r="G137" s="31" t="n">
        <v>6</v>
      </c>
      <c r="H137" s="31" t="n">
        <v>723.4</v>
      </c>
      <c r="I137" s="27" t="s">
        <v>323</v>
      </c>
      <c r="J137" s="27"/>
    </row>
    <row r="138" customFormat="false" ht="15" hidden="false" customHeight="false" outlineLevel="0" collapsed="false">
      <c r="A138" s="31" t="n">
        <v>2025</v>
      </c>
      <c r="B138" s="27" t="s">
        <v>162</v>
      </c>
      <c r="C138" s="31" t="n">
        <v>212</v>
      </c>
      <c r="D138" s="31" t="n">
        <v>1</v>
      </c>
      <c r="E138" s="31" t="n">
        <v>470</v>
      </c>
      <c r="F138" s="31" t="n">
        <v>199.6</v>
      </c>
      <c r="G138" s="31" t="n">
        <v>7</v>
      </c>
      <c r="H138" s="31" t="n">
        <v>708.6</v>
      </c>
      <c r="I138" s="27" t="s">
        <v>323</v>
      </c>
      <c r="J138" s="27"/>
    </row>
    <row r="139" customFormat="false" ht="15" hidden="false" customHeight="false" outlineLevel="0" collapsed="false">
      <c r="A139" s="31" t="n">
        <v>2025</v>
      </c>
      <c r="B139" s="27" t="s">
        <v>35</v>
      </c>
      <c r="C139" s="31" t="n">
        <v>201</v>
      </c>
      <c r="D139" s="31" t="n">
        <v>4</v>
      </c>
      <c r="E139" s="31" t="n">
        <v>350</v>
      </c>
      <c r="F139" s="31" t="n">
        <v>204.1</v>
      </c>
      <c r="G139" s="31" t="n">
        <v>8</v>
      </c>
      <c r="H139" s="31" t="n">
        <v>701.7</v>
      </c>
      <c r="I139" s="27" t="s">
        <v>323</v>
      </c>
      <c r="J139" s="27"/>
    </row>
    <row r="140" customFormat="false" ht="15" hidden="false" customHeight="false" outlineLevel="0" collapsed="false">
      <c r="A140" s="31" t="n">
        <v>2025</v>
      </c>
      <c r="B140" s="27" t="s">
        <v>168</v>
      </c>
      <c r="C140" s="31" t="n">
        <v>265</v>
      </c>
      <c r="D140" s="31" t="n">
        <v>4</v>
      </c>
      <c r="E140" s="31" t="n">
        <v>350</v>
      </c>
      <c r="F140" s="31" t="n">
        <v>232.7</v>
      </c>
      <c r="G140" s="31" t="n">
        <v>9</v>
      </c>
      <c r="H140" s="31" t="n">
        <v>597.6</v>
      </c>
      <c r="I140" s="27" t="s">
        <v>323</v>
      </c>
      <c r="J140" s="27"/>
    </row>
    <row r="141" customFormat="false" ht="15" hidden="false" customHeight="false" outlineLevel="0" collapsed="false">
      <c r="A141" s="31" t="n">
        <v>2025</v>
      </c>
      <c r="B141" s="27" t="s">
        <v>170</v>
      </c>
      <c r="C141" s="31" t="n">
        <v>270</v>
      </c>
      <c r="D141" s="31" t="n">
        <v>2</v>
      </c>
      <c r="E141" s="31" t="n">
        <v>350</v>
      </c>
      <c r="F141" s="31" t="n">
        <v>225</v>
      </c>
      <c r="G141" s="31" t="n">
        <v>10</v>
      </c>
      <c r="H141" s="31" t="n">
        <v>593</v>
      </c>
      <c r="I141" s="27" t="s">
        <v>323</v>
      </c>
      <c r="J141" s="27"/>
    </row>
    <row r="142" customFormat="false" ht="15" hidden="false" customHeight="false" outlineLevel="0" collapsed="false">
      <c r="A142" s="31" t="n">
        <v>2025</v>
      </c>
      <c r="B142" s="27" t="s">
        <v>163</v>
      </c>
      <c r="C142" s="31" t="n">
        <v>253</v>
      </c>
      <c r="D142" s="31" t="n">
        <v>1</v>
      </c>
      <c r="E142" s="31" t="n">
        <v>420</v>
      </c>
      <c r="F142" s="31" t="n">
        <v>217.3</v>
      </c>
      <c r="G142" s="31" t="n">
        <v>11</v>
      </c>
      <c r="H142" s="31" t="n">
        <v>592.5</v>
      </c>
      <c r="I142" s="27" t="s">
        <v>323</v>
      </c>
      <c r="J142" s="27"/>
    </row>
    <row r="143" customFormat="false" ht="15" hidden="false" customHeight="false" outlineLevel="0" collapsed="false">
      <c r="A143" s="31" t="n">
        <v>2025</v>
      </c>
      <c r="B143" s="27" t="s">
        <v>152</v>
      </c>
      <c r="C143" s="31" t="n">
        <v>203</v>
      </c>
      <c r="D143" s="31" t="n">
        <v>2</v>
      </c>
      <c r="E143" s="31" t="n">
        <v>300</v>
      </c>
      <c r="F143" s="31" t="n">
        <v>167.4</v>
      </c>
      <c r="G143" s="31" t="n">
        <v>12</v>
      </c>
      <c r="H143" s="31" t="n">
        <v>566.6</v>
      </c>
      <c r="I143" s="27" t="s">
        <v>323</v>
      </c>
      <c r="J143" s="27"/>
    </row>
    <row r="144" customFormat="false" ht="15" hidden="false" customHeight="false" outlineLevel="0" collapsed="false">
      <c r="A144" s="16" t="n">
        <v>2025</v>
      </c>
      <c r="B144" s="36" t="s">
        <v>148</v>
      </c>
      <c r="C144" s="16" t="n">
        <v>299</v>
      </c>
      <c r="D144" s="16" t="n">
        <v>4</v>
      </c>
      <c r="E144" s="16" t="n">
        <v>350</v>
      </c>
      <c r="F144" s="16" t="n">
        <v>210</v>
      </c>
      <c r="G144" s="16" t="n">
        <v>13</v>
      </c>
      <c r="H144" s="16" t="n">
        <v>518</v>
      </c>
      <c r="I144" s="36" t="s">
        <v>323</v>
      </c>
      <c r="J144" s="36" t="s">
        <v>105</v>
      </c>
    </row>
    <row r="145" customFormat="false" ht="15" hidden="false" customHeight="false" outlineLevel="0" collapsed="false">
      <c r="A145" s="31" t="n">
        <v>2025</v>
      </c>
      <c r="B145" s="27" t="s">
        <v>155</v>
      </c>
      <c r="C145" s="31" t="n">
        <v>301</v>
      </c>
      <c r="D145" s="31" t="n">
        <v>1</v>
      </c>
      <c r="E145" s="31" t="n">
        <v>470</v>
      </c>
      <c r="F145" s="31" t="n">
        <v>220</v>
      </c>
      <c r="G145" s="31" t="n">
        <v>14</v>
      </c>
      <c r="H145" s="31" t="n">
        <v>507.4</v>
      </c>
      <c r="I145" s="27" t="s">
        <v>323</v>
      </c>
      <c r="J145" s="27"/>
    </row>
    <row r="146" customFormat="false" ht="15" hidden="false" customHeight="false" outlineLevel="0" collapsed="false">
      <c r="A146" s="31" t="n">
        <v>2025</v>
      </c>
      <c r="B146" s="27" t="s">
        <v>154</v>
      </c>
      <c r="C146" s="31" t="n">
        <v>210</v>
      </c>
      <c r="D146" s="31" t="n">
        <v>1</v>
      </c>
      <c r="E146" s="31" t="n">
        <v>600</v>
      </c>
      <c r="F146" s="31" t="n">
        <v>252.7</v>
      </c>
      <c r="G146" s="31" t="n">
        <v>15</v>
      </c>
      <c r="H146" s="31" t="n">
        <v>490.8</v>
      </c>
      <c r="I146" s="27" t="s">
        <v>323</v>
      </c>
      <c r="J146" s="27"/>
    </row>
    <row r="147" customFormat="false" ht="15" hidden="false" customHeight="false" outlineLevel="0" collapsed="false">
      <c r="A147" s="31" t="n">
        <v>2025</v>
      </c>
      <c r="B147" s="27" t="s">
        <v>217</v>
      </c>
      <c r="C147" s="31" t="n">
        <v>222</v>
      </c>
      <c r="D147" s="31" t="n">
        <v>1</v>
      </c>
      <c r="E147" s="31" t="n">
        <v>420</v>
      </c>
      <c r="F147" s="31" t="n">
        <v>201.8</v>
      </c>
      <c r="G147" s="31" t="n">
        <v>16</v>
      </c>
      <c r="H147" s="31" t="n">
        <v>483.4</v>
      </c>
      <c r="I147" s="27" t="s">
        <v>323</v>
      </c>
      <c r="J147" s="27"/>
    </row>
    <row r="148" customFormat="false" ht="15" hidden="false" customHeight="false" outlineLevel="0" collapsed="false">
      <c r="A148" s="31" t="n">
        <v>2025</v>
      </c>
      <c r="B148" s="27" t="s">
        <v>165</v>
      </c>
      <c r="C148" s="31" t="n">
        <v>248</v>
      </c>
      <c r="D148" s="31" t="n">
        <v>1</v>
      </c>
      <c r="E148" s="31" t="n">
        <v>330</v>
      </c>
      <c r="F148" s="31" t="n">
        <v>239.5</v>
      </c>
      <c r="G148" s="31" t="n">
        <v>17</v>
      </c>
      <c r="H148" s="31" t="n">
        <v>460.2</v>
      </c>
      <c r="I148" s="27" t="s">
        <v>323</v>
      </c>
      <c r="J148" s="27"/>
    </row>
    <row r="149" customFormat="false" ht="15" hidden="false" customHeight="false" outlineLevel="0" collapsed="false">
      <c r="A149" s="31" t="n">
        <v>2025</v>
      </c>
      <c r="B149" s="27" t="s">
        <v>206</v>
      </c>
      <c r="C149" s="31" t="n">
        <v>216</v>
      </c>
      <c r="D149" s="31" t="n">
        <v>1</v>
      </c>
      <c r="E149" s="31" t="n">
        <v>108</v>
      </c>
      <c r="F149" s="31" t="n">
        <v>221.4</v>
      </c>
      <c r="G149" s="31" t="n">
        <v>18</v>
      </c>
      <c r="H149" s="31" t="n">
        <v>443.5</v>
      </c>
      <c r="I149" s="27" t="s">
        <v>323</v>
      </c>
      <c r="J149" s="27"/>
    </row>
    <row r="150" customFormat="false" ht="15" hidden="false" customHeight="false" outlineLevel="0" collapsed="false">
      <c r="A150" s="31" t="n">
        <v>2025</v>
      </c>
      <c r="B150" s="27" t="s">
        <v>200</v>
      </c>
      <c r="C150" s="31" t="n">
        <v>268</v>
      </c>
      <c r="D150" s="31" t="n">
        <v>4</v>
      </c>
      <c r="E150" s="31" t="n">
        <v>400</v>
      </c>
      <c r="F150" s="31" t="n">
        <v>192.8</v>
      </c>
      <c r="G150" s="31" t="n">
        <v>19</v>
      </c>
      <c r="H150" s="31" t="n">
        <v>423</v>
      </c>
      <c r="I150" s="27" t="s">
        <v>323</v>
      </c>
      <c r="J150" s="27"/>
    </row>
    <row r="151" customFormat="false" ht="15" hidden="false" customHeight="false" outlineLevel="0" collapsed="false">
      <c r="A151" s="31" t="n">
        <v>2025</v>
      </c>
      <c r="B151" s="27" t="s">
        <v>147</v>
      </c>
      <c r="C151" s="31" t="n">
        <v>274</v>
      </c>
      <c r="D151" s="31" t="n">
        <v>4</v>
      </c>
      <c r="E151" s="31" t="n">
        <v>600</v>
      </c>
      <c r="F151" s="31" t="n">
        <v>219.5</v>
      </c>
      <c r="G151" s="31" t="n">
        <v>20</v>
      </c>
      <c r="H151" s="31" t="n">
        <v>390.6</v>
      </c>
      <c r="I151" s="27" t="s">
        <v>323</v>
      </c>
      <c r="J151" s="27"/>
    </row>
    <row r="152" customFormat="false" ht="15" hidden="false" customHeight="false" outlineLevel="0" collapsed="false">
      <c r="A152" s="31" t="n">
        <v>2025</v>
      </c>
      <c r="B152" s="27" t="s">
        <v>224</v>
      </c>
      <c r="C152" s="31" t="n">
        <v>279</v>
      </c>
      <c r="D152" s="31" t="n">
        <v>1</v>
      </c>
      <c r="E152" s="31" t="n">
        <v>120</v>
      </c>
      <c r="F152" s="31" t="n">
        <v>243.6</v>
      </c>
      <c r="G152" s="31" t="n">
        <v>21</v>
      </c>
      <c r="H152" s="31" t="n">
        <v>379.3</v>
      </c>
      <c r="I152" s="27" t="s">
        <v>323</v>
      </c>
      <c r="J152" s="27"/>
    </row>
    <row r="153" customFormat="false" ht="15" hidden="false" customHeight="false" outlineLevel="0" collapsed="false">
      <c r="A153" s="31" t="n">
        <v>2025</v>
      </c>
      <c r="B153" s="27" t="s">
        <v>158</v>
      </c>
      <c r="C153" s="31" t="n">
        <v>206</v>
      </c>
      <c r="D153" s="31" t="n">
        <v>4</v>
      </c>
      <c r="E153" s="31" t="n">
        <v>350</v>
      </c>
      <c r="F153" s="31" t="n">
        <v>210</v>
      </c>
      <c r="G153" s="31" t="n">
        <v>22</v>
      </c>
      <c r="H153" s="31" t="n">
        <v>338</v>
      </c>
      <c r="I153" s="27" t="s">
        <v>323</v>
      </c>
      <c r="J153" s="27"/>
    </row>
    <row r="154" customFormat="false" ht="15" hidden="false" customHeight="false" outlineLevel="0" collapsed="false">
      <c r="A154" s="31" t="n">
        <v>2025</v>
      </c>
      <c r="B154" s="27" t="s">
        <v>188</v>
      </c>
      <c r="C154" s="31" t="n">
        <v>223</v>
      </c>
      <c r="D154" s="31" t="n">
        <v>1</v>
      </c>
      <c r="E154" s="31" t="n">
        <v>590</v>
      </c>
      <c r="F154" s="31" t="n">
        <v>219.1</v>
      </c>
      <c r="G154" s="31" t="n">
        <v>23</v>
      </c>
      <c r="H154" s="31" t="n">
        <v>313.8</v>
      </c>
      <c r="I154" s="27" t="s">
        <v>323</v>
      </c>
      <c r="J154" s="27"/>
    </row>
    <row r="155" customFormat="false" ht="15" hidden="false" customHeight="false" outlineLevel="0" collapsed="false">
      <c r="A155" s="31" t="n">
        <v>2025</v>
      </c>
      <c r="B155" s="27" t="s">
        <v>207</v>
      </c>
      <c r="C155" s="31" t="n">
        <v>243</v>
      </c>
      <c r="D155" s="31" t="n">
        <v>1</v>
      </c>
      <c r="E155" s="31" t="n">
        <v>470</v>
      </c>
      <c r="F155" s="31" t="n">
        <v>260.4</v>
      </c>
      <c r="G155" s="31" t="n">
        <v>24</v>
      </c>
      <c r="H155" s="31" t="n">
        <v>303.4</v>
      </c>
      <c r="I155" s="27" t="s">
        <v>323</v>
      </c>
      <c r="J155" s="27"/>
    </row>
    <row r="156" customFormat="false" ht="15" hidden="false" customHeight="false" outlineLevel="0" collapsed="false">
      <c r="A156" s="31" t="n">
        <v>2025</v>
      </c>
      <c r="B156" s="27" t="s">
        <v>193</v>
      </c>
      <c r="C156" s="31" t="n">
        <v>282</v>
      </c>
      <c r="D156" s="31" t="n">
        <v>1</v>
      </c>
      <c r="E156" s="31" t="n">
        <v>400</v>
      </c>
      <c r="F156" s="31" t="n">
        <v>229.6</v>
      </c>
      <c r="G156" s="31" t="n">
        <v>25</v>
      </c>
      <c r="H156" s="31" t="n">
        <v>298.6</v>
      </c>
      <c r="I156" s="27" t="s">
        <v>323</v>
      </c>
      <c r="J156" s="27"/>
    </row>
    <row r="157" customFormat="false" ht="15" hidden="false" customHeight="false" outlineLevel="0" collapsed="false">
      <c r="A157" s="31" t="n">
        <v>2025</v>
      </c>
      <c r="B157" s="27" t="s">
        <v>166</v>
      </c>
      <c r="C157" s="31" t="n">
        <v>234</v>
      </c>
      <c r="D157" s="31" t="n">
        <v>1</v>
      </c>
      <c r="E157" s="31" t="n">
        <v>500</v>
      </c>
      <c r="F157" s="31" t="n">
        <v>193.5</v>
      </c>
      <c r="G157" s="31" t="n">
        <v>26</v>
      </c>
      <c r="H157" s="31" t="n">
        <v>284.7</v>
      </c>
      <c r="I157" s="27" t="s">
        <v>323</v>
      </c>
      <c r="J157" s="27"/>
    </row>
    <row r="158" customFormat="false" ht="15" hidden="false" customHeight="false" outlineLevel="0" collapsed="false">
      <c r="A158" s="31" t="n">
        <v>2025</v>
      </c>
      <c r="B158" s="27" t="s">
        <v>210</v>
      </c>
      <c r="C158" s="31" t="n">
        <v>226</v>
      </c>
      <c r="D158" s="31" t="n">
        <v>1</v>
      </c>
      <c r="E158" s="31" t="n">
        <v>520</v>
      </c>
      <c r="F158" s="31" t="n">
        <v>280.3</v>
      </c>
      <c r="G158" s="31" t="n">
        <v>27</v>
      </c>
      <c r="H158" s="31" t="n">
        <v>257.6</v>
      </c>
      <c r="I158" s="27" t="s">
        <v>323</v>
      </c>
      <c r="J158" s="27"/>
    </row>
    <row r="159" customFormat="false" ht="15" hidden="false" customHeight="false" outlineLevel="0" collapsed="false">
      <c r="A159" s="31" t="n">
        <v>2025</v>
      </c>
      <c r="B159" s="27" t="s">
        <v>183</v>
      </c>
      <c r="C159" s="31" t="n">
        <v>254</v>
      </c>
      <c r="D159" s="31" t="n">
        <v>2</v>
      </c>
      <c r="E159" s="31" t="n">
        <v>350</v>
      </c>
      <c r="F159" s="31" t="n">
        <v>184.2</v>
      </c>
      <c r="G159" s="31" t="n">
        <v>28</v>
      </c>
      <c r="H159" s="31" t="n">
        <v>252.4</v>
      </c>
      <c r="I159" s="27" t="s">
        <v>323</v>
      </c>
      <c r="J159" s="27"/>
    </row>
    <row r="160" customFormat="false" ht="15" hidden="false" customHeight="false" outlineLevel="0" collapsed="false">
      <c r="A160" s="31" t="n">
        <v>2025</v>
      </c>
      <c r="B160" s="27" t="s">
        <v>161</v>
      </c>
      <c r="C160" s="31" t="n">
        <v>207</v>
      </c>
      <c r="D160" s="31" t="n">
        <v>4</v>
      </c>
      <c r="E160" s="31" t="n">
        <v>350</v>
      </c>
      <c r="F160" s="31" t="n">
        <v>219.1</v>
      </c>
      <c r="G160" s="31" t="n">
        <v>29</v>
      </c>
      <c r="H160" s="31" t="n">
        <v>252.2</v>
      </c>
      <c r="I160" s="27" t="s">
        <v>323</v>
      </c>
      <c r="J160" s="27"/>
    </row>
    <row r="161" customFormat="false" ht="15" hidden="false" customHeight="false" outlineLevel="0" collapsed="false">
      <c r="A161" s="31" t="n">
        <v>2025</v>
      </c>
      <c r="B161" s="27" t="s">
        <v>332</v>
      </c>
      <c r="C161" s="31" t="n">
        <v>258</v>
      </c>
      <c r="D161" s="31" t="n">
        <v>1</v>
      </c>
      <c r="E161" s="31" t="n">
        <v>500</v>
      </c>
      <c r="F161" s="31" t="n">
        <v>219.5</v>
      </c>
      <c r="G161" s="31" t="n">
        <v>30</v>
      </c>
      <c r="H161" s="31" t="n">
        <v>235.3</v>
      </c>
      <c r="I161" s="27" t="s">
        <v>323</v>
      </c>
      <c r="J161" s="27"/>
    </row>
    <row r="162" customFormat="false" ht="15" hidden="false" customHeight="false" outlineLevel="0" collapsed="false">
      <c r="A162" s="31" t="n">
        <v>2025</v>
      </c>
      <c r="B162" s="27" t="s">
        <v>199</v>
      </c>
      <c r="C162" s="31" t="n">
        <v>217</v>
      </c>
      <c r="D162" s="31" t="n">
        <v>1</v>
      </c>
      <c r="E162" s="31" t="n">
        <v>320</v>
      </c>
      <c r="F162" s="31" t="n">
        <v>240.6</v>
      </c>
      <c r="G162" s="31" t="n">
        <v>31</v>
      </c>
      <c r="H162" s="31" t="n">
        <v>227.3</v>
      </c>
      <c r="I162" s="27" t="s">
        <v>323</v>
      </c>
      <c r="J162" s="27"/>
    </row>
    <row r="163" customFormat="false" ht="15" hidden="false" customHeight="false" outlineLevel="0" collapsed="false">
      <c r="A163" s="31" t="n">
        <v>2025</v>
      </c>
      <c r="B163" s="27" t="s">
        <v>169</v>
      </c>
      <c r="C163" s="31" t="n">
        <v>228</v>
      </c>
      <c r="D163" s="31" t="n">
        <v>4</v>
      </c>
      <c r="E163" s="31" t="n">
        <v>300</v>
      </c>
      <c r="F163" s="31" t="n">
        <v>198.3</v>
      </c>
      <c r="G163" s="31" t="n">
        <v>32</v>
      </c>
      <c r="H163" s="31" t="n">
        <v>218.7</v>
      </c>
      <c r="I163" s="27" t="s">
        <v>323</v>
      </c>
      <c r="J163" s="27"/>
    </row>
    <row r="164" customFormat="false" ht="15" hidden="false" customHeight="false" outlineLevel="0" collapsed="false">
      <c r="A164" s="31" t="n">
        <v>2025</v>
      </c>
      <c r="B164" s="27" t="s">
        <v>208</v>
      </c>
      <c r="C164" s="31" t="n">
        <v>262</v>
      </c>
      <c r="D164" s="31" t="n">
        <v>1</v>
      </c>
      <c r="E164" s="31" t="n">
        <v>630</v>
      </c>
      <c r="F164" s="31" t="n">
        <v>207.7</v>
      </c>
      <c r="G164" s="31" t="n">
        <v>33</v>
      </c>
      <c r="H164" s="31" t="n">
        <v>211.5</v>
      </c>
      <c r="I164" s="27" t="s">
        <v>323</v>
      </c>
      <c r="J164" s="27"/>
    </row>
    <row r="165" customFormat="false" ht="15" hidden="false" customHeight="false" outlineLevel="0" collapsed="false">
      <c r="A165" s="31" t="n">
        <v>2025</v>
      </c>
      <c r="B165" s="27" t="s">
        <v>205</v>
      </c>
      <c r="C165" s="31" t="n">
        <v>240</v>
      </c>
      <c r="D165" s="31" t="n">
        <v>1</v>
      </c>
      <c r="E165" s="31" t="n">
        <v>500</v>
      </c>
      <c r="F165" s="31" t="n">
        <v>265.3</v>
      </c>
      <c r="G165" s="31" t="n">
        <v>34</v>
      </c>
      <c r="H165" s="31" t="n">
        <v>210.2</v>
      </c>
      <c r="I165" s="27" t="s">
        <v>323</v>
      </c>
      <c r="J165" s="27"/>
    </row>
    <row r="166" customFormat="false" ht="15" hidden="false" customHeight="false" outlineLevel="0" collapsed="false">
      <c r="A166" s="31" t="n">
        <v>2025</v>
      </c>
      <c r="B166" s="27" t="s">
        <v>191</v>
      </c>
      <c r="C166" s="31" t="n">
        <v>235</v>
      </c>
      <c r="D166" s="31" t="n">
        <v>1</v>
      </c>
      <c r="E166" s="31" t="n">
        <v>475</v>
      </c>
      <c r="F166" s="31" t="n">
        <v>210.7</v>
      </c>
      <c r="G166" s="31" t="n">
        <v>35</v>
      </c>
      <c r="H166" s="31" t="n">
        <v>205.8</v>
      </c>
      <c r="I166" s="27" t="s">
        <v>323</v>
      </c>
      <c r="J166" s="27"/>
    </row>
    <row r="167" customFormat="false" ht="15" hidden="false" customHeight="false" outlineLevel="0" collapsed="false">
      <c r="A167" s="31" t="n">
        <v>2025</v>
      </c>
      <c r="B167" s="27" t="s">
        <v>223</v>
      </c>
      <c r="C167" s="31" t="n">
        <v>259</v>
      </c>
      <c r="D167" s="31" t="n">
        <v>1</v>
      </c>
      <c r="E167" s="31"/>
      <c r="F167" s="31" t="n">
        <v>201.4</v>
      </c>
      <c r="G167" s="31" t="n">
        <v>36</v>
      </c>
      <c r="H167" s="31" t="n">
        <v>204.9</v>
      </c>
      <c r="I167" s="27" t="s">
        <v>323</v>
      </c>
      <c r="J167" s="27"/>
    </row>
    <row r="168" customFormat="false" ht="15" hidden="false" customHeight="false" outlineLevel="0" collapsed="false">
      <c r="A168" s="31" t="n">
        <v>2025</v>
      </c>
      <c r="B168" s="27" t="s">
        <v>189</v>
      </c>
      <c r="C168" s="31" t="n">
        <v>229</v>
      </c>
      <c r="D168" s="31" t="n">
        <v>1</v>
      </c>
      <c r="E168" s="31" t="n">
        <v>520</v>
      </c>
      <c r="F168" s="31" t="n">
        <v>217.3</v>
      </c>
      <c r="G168" s="31" t="n">
        <v>38</v>
      </c>
      <c r="H168" s="31" t="n">
        <v>200.1</v>
      </c>
      <c r="I168" s="27" t="s">
        <v>323</v>
      </c>
      <c r="J168" s="27"/>
    </row>
    <row r="169" customFormat="false" ht="15" hidden="false" customHeight="false" outlineLevel="0" collapsed="false">
      <c r="A169" s="31" t="n">
        <v>2025</v>
      </c>
      <c r="B169" s="27" t="s">
        <v>190</v>
      </c>
      <c r="C169" s="31" t="n">
        <v>215</v>
      </c>
      <c r="D169" s="31" t="n">
        <v>1</v>
      </c>
      <c r="E169" s="31" t="n">
        <v>470</v>
      </c>
      <c r="F169" s="31" t="n">
        <v>246.8</v>
      </c>
      <c r="G169" s="31" t="n">
        <v>39</v>
      </c>
      <c r="H169" s="31" t="n">
        <v>198.7</v>
      </c>
      <c r="I169" s="27" t="s">
        <v>323</v>
      </c>
      <c r="J169" s="27"/>
    </row>
    <row r="170" customFormat="false" ht="15" hidden="false" customHeight="false" outlineLevel="0" collapsed="false">
      <c r="A170" s="31" t="n">
        <v>2025</v>
      </c>
      <c r="B170" s="27" t="s">
        <v>202</v>
      </c>
      <c r="C170" s="31" t="n">
        <v>257</v>
      </c>
      <c r="D170" s="31" t="n">
        <v>1</v>
      </c>
      <c r="E170" s="31" t="n">
        <v>588</v>
      </c>
      <c r="F170" s="31" t="n">
        <v>242</v>
      </c>
      <c r="G170" s="31" t="n">
        <v>40</v>
      </c>
      <c r="H170" s="31" t="n">
        <v>195.1</v>
      </c>
      <c r="I170" s="27" t="s">
        <v>323</v>
      </c>
      <c r="J170" s="27"/>
    </row>
    <row r="171" customFormat="false" ht="15" hidden="false" customHeight="false" outlineLevel="0" collapsed="false">
      <c r="A171" s="31" t="n">
        <v>2025</v>
      </c>
      <c r="B171" s="27" t="s">
        <v>186</v>
      </c>
      <c r="C171" s="31" t="n">
        <v>246</v>
      </c>
      <c r="D171" s="31" t="n">
        <v>1</v>
      </c>
      <c r="E171" s="31" t="n">
        <v>235</v>
      </c>
      <c r="F171" s="31" t="n">
        <v>228.6</v>
      </c>
      <c r="G171" s="31" t="n">
        <v>41</v>
      </c>
      <c r="H171" s="31" t="n">
        <v>194.4</v>
      </c>
      <c r="I171" s="27" t="s">
        <v>323</v>
      </c>
      <c r="J171" s="27"/>
    </row>
    <row r="172" customFormat="false" ht="15" hidden="false" customHeight="false" outlineLevel="0" collapsed="false">
      <c r="A172" s="31" t="n">
        <v>2025</v>
      </c>
      <c r="B172" s="27" t="s">
        <v>213</v>
      </c>
      <c r="C172" s="31" t="n">
        <v>242</v>
      </c>
      <c r="D172" s="31" t="n">
        <v>1</v>
      </c>
      <c r="E172" s="31" t="n">
        <v>350</v>
      </c>
      <c r="F172" s="31" t="n">
        <v>228.2</v>
      </c>
      <c r="G172" s="31" t="n">
        <v>42</v>
      </c>
      <c r="H172" s="31" t="n">
        <v>193.3</v>
      </c>
      <c r="I172" s="27" t="s">
        <v>323</v>
      </c>
      <c r="J172" s="27"/>
    </row>
    <row r="173" customFormat="false" ht="15" hidden="false" customHeight="false" outlineLevel="0" collapsed="false">
      <c r="A173" s="31" t="n">
        <v>2025</v>
      </c>
      <c r="B173" s="27" t="s">
        <v>201</v>
      </c>
      <c r="C173" s="31" t="n">
        <v>233</v>
      </c>
      <c r="D173" s="31" t="n">
        <v>1</v>
      </c>
      <c r="E173" s="31" t="n">
        <v>500</v>
      </c>
      <c r="F173" s="31" t="n">
        <v>230</v>
      </c>
      <c r="G173" s="31" t="n">
        <v>43</v>
      </c>
      <c r="H173" s="31" t="n">
        <v>183.6</v>
      </c>
      <c r="I173" s="27" t="s">
        <v>323</v>
      </c>
      <c r="J173" s="27"/>
    </row>
    <row r="174" customFormat="false" ht="15" hidden="false" customHeight="false" outlineLevel="0" collapsed="false">
      <c r="A174" s="31" t="n">
        <v>2025</v>
      </c>
      <c r="B174" s="27" t="s">
        <v>156</v>
      </c>
      <c r="C174" s="31" t="n">
        <v>272</v>
      </c>
      <c r="D174" s="31" t="n">
        <v>4</v>
      </c>
      <c r="E174" s="31" t="n">
        <v>350</v>
      </c>
      <c r="F174" s="31" t="n">
        <v>189.6</v>
      </c>
      <c r="G174" s="31" t="n">
        <v>44</v>
      </c>
      <c r="H174" s="31" t="n">
        <v>181.9</v>
      </c>
      <c r="I174" s="27" t="s">
        <v>323</v>
      </c>
      <c r="J174" s="27"/>
    </row>
    <row r="175" customFormat="false" ht="15" hidden="false" customHeight="false" outlineLevel="0" collapsed="false">
      <c r="A175" s="31" t="n">
        <v>2025</v>
      </c>
      <c r="B175" s="27" t="s">
        <v>157</v>
      </c>
      <c r="C175" s="31" t="n">
        <v>231</v>
      </c>
      <c r="D175" s="31" t="n">
        <v>1</v>
      </c>
      <c r="E175" s="31" t="n">
        <v>420</v>
      </c>
      <c r="F175" s="31" t="n">
        <v>219.6</v>
      </c>
      <c r="G175" s="31" t="n">
        <v>45</v>
      </c>
      <c r="H175" s="31" t="n">
        <v>179.4</v>
      </c>
      <c r="I175" s="27" t="s">
        <v>323</v>
      </c>
      <c r="J175" s="27"/>
    </row>
    <row r="176" customFormat="false" ht="15" hidden="false" customHeight="false" outlineLevel="0" collapsed="false">
      <c r="A176" s="31" t="n">
        <v>2025</v>
      </c>
      <c r="B176" s="27" t="s">
        <v>222</v>
      </c>
      <c r="C176" s="31" t="n">
        <v>218</v>
      </c>
      <c r="D176" s="31" t="n">
        <v>4</v>
      </c>
      <c r="E176" s="31" t="n">
        <v>350</v>
      </c>
      <c r="F176" s="31" t="n">
        <v>227.7</v>
      </c>
      <c r="G176" s="31" t="n">
        <v>46</v>
      </c>
      <c r="H176" s="31" t="n">
        <v>175.3</v>
      </c>
      <c r="I176" s="27" t="s">
        <v>323</v>
      </c>
      <c r="J176" s="27"/>
    </row>
    <row r="177" customFormat="false" ht="15" hidden="false" customHeight="false" outlineLevel="0" collapsed="false">
      <c r="A177" s="31" t="n">
        <v>2025</v>
      </c>
      <c r="B177" s="27" t="s">
        <v>160</v>
      </c>
      <c r="C177" s="31" t="n">
        <v>263</v>
      </c>
      <c r="D177" s="31" t="n">
        <v>1</v>
      </c>
      <c r="E177" s="31" t="n">
        <v>420</v>
      </c>
      <c r="F177" s="31" t="n">
        <v>212.7</v>
      </c>
      <c r="G177" s="31" t="n">
        <v>47</v>
      </c>
      <c r="H177" s="31" t="n">
        <v>169.6</v>
      </c>
      <c r="I177" s="27" t="s">
        <v>323</v>
      </c>
      <c r="J177" s="27"/>
    </row>
    <row r="178" customFormat="false" ht="15" hidden="false" customHeight="false" outlineLevel="0" collapsed="false">
      <c r="A178" s="31" t="n">
        <v>2025</v>
      </c>
      <c r="B178" s="27" t="s">
        <v>198</v>
      </c>
      <c r="C178" s="31" t="n">
        <v>221</v>
      </c>
      <c r="D178" s="31" t="n">
        <v>1</v>
      </c>
      <c r="E178" s="31" t="n">
        <v>180</v>
      </c>
      <c r="F178" s="31" t="n">
        <v>239.3</v>
      </c>
      <c r="G178" s="31" t="n">
        <v>48</v>
      </c>
      <c r="H178" s="31" t="n">
        <v>166.9</v>
      </c>
      <c r="I178" s="27" t="s">
        <v>323</v>
      </c>
      <c r="J178" s="27"/>
    </row>
    <row r="179" customFormat="false" ht="15" hidden="false" customHeight="false" outlineLevel="0" collapsed="false">
      <c r="A179" s="31" t="n">
        <v>2025</v>
      </c>
      <c r="B179" s="27" t="s">
        <v>220</v>
      </c>
      <c r="C179" s="31" t="n">
        <v>245</v>
      </c>
      <c r="D179" s="31" t="n">
        <v>1</v>
      </c>
      <c r="E179" s="31" t="n">
        <v>520</v>
      </c>
      <c r="F179" s="31" t="n">
        <v>227</v>
      </c>
      <c r="G179" s="31" t="n">
        <v>49</v>
      </c>
      <c r="H179" s="31" t="n">
        <v>164.1</v>
      </c>
      <c r="I179" s="27" t="s">
        <v>323</v>
      </c>
      <c r="J179" s="27"/>
    </row>
    <row r="180" customFormat="false" ht="15" hidden="false" customHeight="false" outlineLevel="0" collapsed="false">
      <c r="A180" s="31" t="n">
        <v>2025</v>
      </c>
      <c r="B180" s="27" t="s">
        <v>187</v>
      </c>
      <c r="C180" s="31" t="n">
        <v>232</v>
      </c>
      <c r="D180" s="31" t="n">
        <v>1</v>
      </c>
      <c r="E180" s="31" t="n">
        <v>400</v>
      </c>
      <c r="F180" s="31" t="n">
        <v>216.8</v>
      </c>
      <c r="G180" s="31" t="n">
        <v>50</v>
      </c>
      <c r="H180" s="31" t="n">
        <v>161.2</v>
      </c>
      <c r="I180" s="27" t="s">
        <v>323</v>
      </c>
      <c r="J180" s="27"/>
    </row>
    <row r="181" customFormat="false" ht="15" hidden="false" customHeight="false" outlineLevel="0" collapsed="false">
      <c r="A181" s="31" t="n">
        <v>2025</v>
      </c>
      <c r="B181" s="27" t="s">
        <v>159</v>
      </c>
      <c r="C181" s="31" t="n">
        <v>239</v>
      </c>
      <c r="D181" s="31" t="n">
        <v>1</v>
      </c>
      <c r="E181" s="31" t="n">
        <v>450</v>
      </c>
      <c r="F181" s="31" t="n">
        <v>181</v>
      </c>
      <c r="G181" s="31" t="n">
        <v>51</v>
      </c>
      <c r="H181" s="31" t="n">
        <v>159.3</v>
      </c>
      <c r="I181" s="27" t="s">
        <v>323</v>
      </c>
      <c r="J181" s="27"/>
    </row>
    <row r="182" customFormat="false" ht="15" hidden="false" customHeight="false" outlineLevel="0" collapsed="false">
      <c r="A182" s="31" t="n">
        <v>2025</v>
      </c>
      <c r="B182" s="27" t="s">
        <v>182</v>
      </c>
      <c r="C182" s="31" t="n">
        <v>264</v>
      </c>
      <c r="D182" s="31" t="n">
        <v>4</v>
      </c>
      <c r="E182" s="31" t="n">
        <v>350</v>
      </c>
      <c r="F182" s="31" t="n">
        <v>250.4</v>
      </c>
      <c r="G182" s="31" t="n">
        <v>52</v>
      </c>
      <c r="H182" s="31" t="n">
        <v>154.4</v>
      </c>
      <c r="I182" s="27" t="s">
        <v>323</v>
      </c>
      <c r="J182" s="27"/>
    </row>
    <row r="183" customFormat="false" ht="15" hidden="false" customHeight="false" outlineLevel="0" collapsed="false">
      <c r="A183" s="31" t="n">
        <v>2025</v>
      </c>
      <c r="B183" s="27" t="s">
        <v>197</v>
      </c>
      <c r="C183" s="31" t="n">
        <v>289</v>
      </c>
      <c r="D183" s="31" t="n">
        <v>1</v>
      </c>
      <c r="E183" s="31" t="n">
        <v>400</v>
      </c>
      <c r="F183" s="31" t="n">
        <v>238.1</v>
      </c>
      <c r="G183" s="31" t="n">
        <v>53</v>
      </c>
      <c r="H183" s="31" t="n">
        <v>145.9</v>
      </c>
      <c r="I183" s="27" t="s">
        <v>323</v>
      </c>
      <c r="J183" s="27"/>
    </row>
    <row r="184" customFormat="false" ht="15" hidden="false" customHeight="false" outlineLevel="0" collapsed="false">
      <c r="A184" s="31" t="n">
        <v>2025</v>
      </c>
      <c r="B184" s="27" t="s">
        <v>192</v>
      </c>
      <c r="C184" s="31" t="n">
        <v>237</v>
      </c>
      <c r="D184" s="31" t="n">
        <v>1</v>
      </c>
      <c r="E184" s="31" t="n">
        <v>588</v>
      </c>
      <c r="F184" s="31" t="n">
        <v>227</v>
      </c>
      <c r="G184" s="31" t="n">
        <v>55</v>
      </c>
      <c r="H184" s="31" t="n">
        <v>144.4</v>
      </c>
      <c r="I184" s="27" t="s">
        <v>323</v>
      </c>
      <c r="J184" s="27"/>
    </row>
    <row r="185" customFormat="false" ht="15" hidden="false" customHeight="false" outlineLevel="0" collapsed="false">
      <c r="A185" s="31" t="n">
        <v>2025</v>
      </c>
      <c r="B185" s="27" t="s">
        <v>195</v>
      </c>
      <c r="C185" s="31" t="n">
        <v>241</v>
      </c>
      <c r="D185" s="31" t="n">
        <v>3</v>
      </c>
      <c r="E185" s="31" t="n">
        <v>588</v>
      </c>
      <c r="F185" s="31" t="n">
        <v>257.2</v>
      </c>
      <c r="G185" s="31" t="n">
        <v>56</v>
      </c>
      <c r="H185" s="31" t="n">
        <v>140.2</v>
      </c>
      <c r="I185" s="27" t="s">
        <v>323</v>
      </c>
      <c r="J185" s="27"/>
    </row>
    <row r="186" customFormat="false" ht="15" hidden="false" customHeight="false" outlineLevel="0" collapsed="false">
      <c r="A186" s="31" t="n">
        <v>2025</v>
      </c>
      <c r="B186" s="27" t="s">
        <v>194</v>
      </c>
      <c r="C186" s="31" t="n">
        <v>267</v>
      </c>
      <c r="D186" s="31" t="n">
        <v>1</v>
      </c>
      <c r="E186" s="31" t="n">
        <v>360</v>
      </c>
      <c r="F186" s="31" t="n">
        <v>228.2</v>
      </c>
      <c r="G186" s="31" t="n">
        <v>57</v>
      </c>
      <c r="H186" s="31" t="n">
        <v>134.9</v>
      </c>
      <c r="I186" s="27" t="s">
        <v>323</v>
      </c>
      <c r="J186" s="27"/>
    </row>
    <row r="187" customFormat="false" ht="15" hidden="false" customHeight="false" outlineLevel="0" collapsed="false">
      <c r="A187" s="31" t="n">
        <v>2025</v>
      </c>
      <c r="B187" s="27" t="s">
        <v>240</v>
      </c>
      <c r="C187" s="31" t="n">
        <v>296</v>
      </c>
      <c r="D187" s="31" t="n">
        <v>1</v>
      </c>
      <c r="E187" s="31" t="n">
        <v>300</v>
      </c>
      <c r="F187" s="31" t="n">
        <v>235.3</v>
      </c>
      <c r="G187" s="31" t="n">
        <v>58</v>
      </c>
      <c r="H187" s="31" t="n">
        <v>129.1</v>
      </c>
      <c r="I187" s="27" t="s">
        <v>323</v>
      </c>
      <c r="J187" s="27"/>
    </row>
    <row r="188" customFormat="false" ht="15" hidden="false" customHeight="false" outlineLevel="0" collapsed="false">
      <c r="A188" s="31" t="n">
        <v>2025</v>
      </c>
      <c r="B188" s="27" t="s">
        <v>204</v>
      </c>
      <c r="C188" s="31" t="n">
        <v>244</v>
      </c>
      <c r="D188" s="31" t="n">
        <v>1</v>
      </c>
      <c r="E188" s="31" t="n">
        <v>600</v>
      </c>
      <c r="F188" s="31" t="n">
        <v>216.5</v>
      </c>
      <c r="G188" s="31" t="n">
        <v>59</v>
      </c>
      <c r="H188" s="31" t="n">
        <v>128.7</v>
      </c>
      <c r="I188" s="27" t="s">
        <v>323</v>
      </c>
      <c r="J188" s="27"/>
    </row>
    <row r="189" customFormat="false" ht="15" hidden="false" customHeight="false" outlineLevel="0" collapsed="false">
      <c r="A189" s="31" t="n">
        <v>2025</v>
      </c>
      <c r="B189" s="27" t="s">
        <v>218</v>
      </c>
      <c r="C189" s="31" t="n">
        <v>303</v>
      </c>
      <c r="D189" s="31" t="n">
        <v>1</v>
      </c>
      <c r="E189" s="31" t="n">
        <v>270</v>
      </c>
      <c r="F189" s="31" t="n">
        <v>201.4</v>
      </c>
      <c r="G189" s="31" t="n">
        <v>60</v>
      </c>
      <c r="H189" s="31" t="n">
        <v>128.6</v>
      </c>
      <c r="I189" s="27" t="s">
        <v>323</v>
      </c>
      <c r="J189" s="27"/>
    </row>
    <row r="190" customFormat="false" ht="15" hidden="false" customHeight="false" outlineLevel="0" collapsed="false">
      <c r="A190" s="31" t="n">
        <v>2025</v>
      </c>
      <c r="B190" s="27" t="s">
        <v>258</v>
      </c>
      <c r="C190" s="31" t="n">
        <v>271</v>
      </c>
      <c r="D190" s="31" t="n">
        <v>1</v>
      </c>
      <c r="E190" s="31" t="n">
        <v>235</v>
      </c>
      <c r="F190" s="31" t="n">
        <v>237.9</v>
      </c>
      <c r="G190" s="31" t="n">
        <v>61</v>
      </c>
      <c r="H190" s="31" t="n">
        <v>124.9</v>
      </c>
      <c r="I190" s="27" t="s">
        <v>323</v>
      </c>
      <c r="J190" s="27"/>
    </row>
    <row r="191" customFormat="false" ht="15" hidden="false" customHeight="false" outlineLevel="0" collapsed="false">
      <c r="A191" s="31" t="n">
        <v>2025</v>
      </c>
      <c r="B191" s="27" t="s">
        <v>215</v>
      </c>
      <c r="C191" s="31" t="n">
        <v>251</v>
      </c>
      <c r="D191" s="31" t="n">
        <v>1</v>
      </c>
      <c r="E191" s="31" t="n">
        <v>420</v>
      </c>
      <c r="F191" s="31" t="n">
        <v>236.1</v>
      </c>
      <c r="G191" s="31" t="n">
        <v>62</v>
      </c>
      <c r="H191" s="31" t="n">
        <v>122.1</v>
      </c>
      <c r="I191" s="27" t="s">
        <v>323</v>
      </c>
      <c r="J191" s="27"/>
    </row>
    <row r="192" customFormat="false" ht="15" hidden="false" customHeight="false" outlineLevel="0" collapsed="false">
      <c r="A192" s="31" t="n">
        <v>2025</v>
      </c>
      <c r="B192" s="27" t="s">
        <v>230</v>
      </c>
      <c r="C192" s="31" t="n">
        <v>294</v>
      </c>
      <c r="D192" s="31" t="n">
        <v>1</v>
      </c>
      <c r="E192" s="31" t="n">
        <v>500</v>
      </c>
      <c r="F192" s="31" t="n">
        <v>236</v>
      </c>
      <c r="G192" s="31" t="n">
        <v>63</v>
      </c>
      <c r="H192" s="31" t="n">
        <v>120.9</v>
      </c>
      <c r="I192" s="27" t="s">
        <v>323</v>
      </c>
      <c r="J192" s="27"/>
    </row>
    <row r="193" customFormat="false" ht="15" hidden="false" customHeight="false" outlineLevel="0" collapsed="false">
      <c r="A193" s="31" t="n">
        <v>2025</v>
      </c>
      <c r="B193" s="27" t="s">
        <v>216</v>
      </c>
      <c r="C193" s="31" t="n">
        <v>225</v>
      </c>
      <c r="D193" s="31" t="n">
        <v>1</v>
      </c>
      <c r="E193" s="31" t="n">
        <v>500</v>
      </c>
      <c r="F193" s="31" t="n">
        <v>235</v>
      </c>
      <c r="G193" s="31" t="n">
        <v>64</v>
      </c>
      <c r="H193" s="31" t="n">
        <v>119.7</v>
      </c>
      <c r="I193" s="27" t="s">
        <v>323</v>
      </c>
      <c r="J193" s="27"/>
    </row>
    <row r="194" customFormat="false" ht="15" hidden="false" customHeight="false" outlineLevel="0" collapsed="false">
      <c r="A194" s="31" t="n">
        <v>2025</v>
      </c>
      <c r="B194" s="27" t="s">
        <v>233</v>
      </c>
      <c r="C194" s="31" t="n">
        <v>285</v>
      </c>
      <c r="D194" s="31" t="n">
        <v>1</v>
      </c>
      <c r="E194" s="31" t="n">
        <v>450</v>
      </c>
      <c r="F194" s="31" t="n">
        <v>261.5</v>
      </c>
      <c r="G194" s="31" t="n">
        <v>65</v>
      </c>
      <c r="H194" s="31" t="n">
        <v>119.4</v>
      </c>
      <c r="I194" s="27" t="s">
        <v>323</v>
      </c>
      <c r="J194" s="27"/>
    </row>
    <row r="195" customFormat="false" ht="15" hidden="false" customHeight="false" outlineLevel="0" collapsed="false">
      <c r="A195" s="31" t="n">
        <v>2025</v>
      </c>
      <c r="B195" s="27" t="s">
        <v>211</v>
      </c>
      <c r="C195" s="31" t="n">
        <v>261</v>
      </c>
      <c r="D195" s="31" t="n">
        <v>2</v>
      </c>
      <c r="E195" s="31" t="n">
        <v>350</v>
      </c>
      <c r="F195" s="31" t="n">
        <v>239.4</v>
      </c>
      <c r="G195" s="31" t="n">
        <v>66</v>
      </c>
      <c r="H195" s="31" t="n">
        <v>118.8</v>
      </c>
      <c r="I195" s="27" t="s">
        <v>323</v>
      </c>
      <c r="J195" s="27"/>
    </row>
    <row r="196" customFormat="false" ht="15" hidden="false" customHeight="false" outlineLevel="0" collapsed="false">
      <c r="A196" s="31" t="n">
        <v>2025</v>
      </c>
      <c r="B196" s="27" t="s">
        <v>253</v>
      </c>
      <c r="C196" s="31" t="n">
        <v>250</v>
      </c>
      <c r="D196" s="31" t="n">
        <v>1</v>
      </c>
      <c r="E196" s="31" t="n">
        <v>400</v>
      </c>
      <c r="F196" s="31" t="n">
        <v>293.2</v>
      </c>
      <c r="G196" s="31" t="n">
        <v>67</v>
      </c>
      <c r="H196" s="31" t="n">
        <v>117.5</v>
      </c>
      <c r="I196" s="27" t="s">
        <v>323</v>
      </c>
      <c r="J196" s="27"/>
    </row>
    <row r="197" customFormat="false" ht="15" hidden="false" customHeight="false" outlineLevel="0" collapsed="false">
      <c r="A197" s="31" t="n">
        <v>2025</v>
      </c>
      <c r="B197" s="27" t="s">
        <v>212</v>
      </c>
      <c r="C197" s="31" t="n">
        <v>230</v>
      </c>
      <c r="D197" s="31" t="n">
        <v>1</v>
      </c>
      <c r="E197" s="31" t="n">
        <v>300</v>
      </c>
      <c r="F197" s="31" t="n">
        <v>224.7</v>
      </c>
      <c r="G197" s="31" t="n">
        <v>68</v>
      </c>
      <c r="H197" s="31" t="n">
        <v>116.4</v>
      </c>
      <c r="I197" s="27" t="s">
        <v>323</v>
      </c>
      <c r="J197" s="27"/>
    </row>
    <row r="198" customFormat="false" ht="15" hidden="false" customHeight="false" outlineLevel="0" collapsed="false">
      <c r="A198" s="31" t="n">
        <v>2025</v>
      </c>
      <c r="B198" s="27" t="s">
        <v>247</v>
      </c>
      <c r="C198" s="31" t="n">
        <v>255</v>
      </c>
      <c r="D198" s="31" t="n">
        <v>1</v>
      </c>
      <c r="E198" s="31" t="n">
        <v>230</v>
      </c>
      <c r="F198" s="31" t="n">
        <v>214.2</v>
      </c>
      <c r="G198" s="31" t="n">
        <v>69</v>
      </c>
      <c r="H198" s="31" t="n">
        <v>107.1</v>
      </c>
      <c r="I198" s="27" t="s">
        <v>323</v>
      </c>
      <c r="J198" s="27"/>
    </row>
    <row r="199" customFormat="false" ht="15" hidden="false" customHeight="false" outlineLevel="0" collapsed="false">
      <c r="A199" s="31" t="n">
        <v>2025</v>
      </c>
      <c r="B199" s="27" t="s">
        <v>185</v>
      </c>
      <c r="C199" s="31" t="n">
        <v>266</v>
      </c>
      <c r="D199" s="31" t="n">
        <v>4</v>
      </c>
      <c r="E199" s="31" t="n">
        <v>350</v>
      </c>
      <c r="F199" s="31" t="n">
        <v>236.4</v>
      </c>
      <c r="G199" s="31" t="n">
        <v>70</v>
      </c>
      <c r="H199" s="31" t="n">
        <v>95.9</v>
      </c>
      <c r="I199" s="27" t="s">
        <v>323</v>
      </c>
      <c r="J199" s="27"/>
    </row>
    <row r="200" customFormat="false" ht="15" hidden="false" customHeight="false" outlineLevel="0" collapsed="false">
      <c r="A200" s="31" t="n">
        <v>2025</v>
      </c>
      <c r="B200" s="27" t="s">
        <v>228</v>
      </c>
      <c r="C200" s="31" t="n">
        <v>280</v>
      </c>
      <c r="D200" s="31" t="n">
        <v>1</v>
      </c>
      <c r="E200" s="31" t="n">
        <v>550</v>
      </c>
      <c r="F200" s="31" t="n">
        <v>292.7</v>
      </c>
      <c r="G200" s="31" t="n">
        <v>71</v>
      </c>
      <c r="H200" s="31" t="n">
        <v>94.6</v>
      </c>
      <c r="I200" s="27" t="s">
        <v>323</v>
      </c>
      <c r="J200" s="27"/>
    </row>
    <row r="201" customFormat="false" ht="15" hidden="false" customHeight="false" outlineLevel="0" collapsed="false">
      <c r="A201" s="31" t="n">
        <v>2025</v>
      </c>
      <c r="B201" s="27" t="s">
        <v>263</v>
      </c>
      <c r="C201" s="31" t="n">
        <v>291</v>
      </c>
      <c r="D201" s="31" t="n">
        <v>1</v>
      </c>
      <c r="E201" s="31" t="n">
        <v>265</v>
      </c>
      <c r="F201" s="31" t="n">
        <v>280.1</v>
      </c>
      <c r="G201" s="31" t="n">
        <v>72</v>
      </c>
      <c r="H201" s="31" t="n">
        <v>75.4</v>
      </c>
      <c r="I201" s="27" t="s">
        <v>323</v>
      </c>
      <c r="J201" s="27"/>
    </row>
    <row r="202" customFormat="false" ht="15" hidden="false" customHeight="false" outlineLevel="0" collapsed="false">
      <c r="A202" s="31" t="n">
        <v>2025</v>
      </c>
      <c r="B202" s="27" t="s">
        <v>329</v>
      </c>
      <c r="C202" s="31" t="n">
        <v>219</v>
      </c>
      <c r="D202" s="31" t="n">
        <v>1</v>
      </c>
      <c r="E202" s="31" t="n">
        <v>470</v>
      </c>
      <c r="F202" s="31" t="n">
        <v>253.1</v>
      </c>
      <c r="G202" s="31" t="n">
        <v>73</v>
      </c>
      <c r="H202" s="31" t="n">
        <v>68.7</v>
      </c>
      <c r="I202" s="27" t="s">
        <v>323</v>
      </c>
      <c r="J202" s="27"/>
    </row>
    <row r="203" customFormat="false" ht="15" hidden="false" customHeight="false" outlineLevel="0" collapsed="false">
      <c r="A203" s="31" t="n">
        <v>2025</v>
      </c>
      <c r="B203" s="27" t="s">
        <v>227</v>
      </c>
      <c r="C203" s="31" t="n">
        <v>298</v>
      </c>
      <c r="D203" s="31" t="n">
        <v>1</v>
      </c>
      <c r="E203" s="31" t="n">
        <v>260</v>
      </c>
      <c r="F203" s="31" t="n">
        <v>255.7</v>
      </c>
      <c r="G203" s="31" t="n">
        <v>75</v>
      </c>
      <c r="H203" s="31" t="n">
        <v>43.1</v>
      </c>
      <c r="I203" s="27" t="s">
        <v>323</v>
      </c>
      <c r="J203" s="27"/>
    </row>
    <row r="204" customFormat="false" ht="15" hidden="false" customHeight="false" outlineLevel="0" collapsed="false">
      <c r="A204" s="31" t="n">
        <v>2025</v>
      </c>
      <c r="B204" s="27" t="s">
        <v>209</v>
      </c>
      <c r="C204" s="31" t="n">
        <v>281</v>
      </c>
      <c r="D204" s="31" t="n">
        <v>1</v>
      </c>
      <c r="E204" s="31" t="n">
        <v>470</v>
      </c>
      <c r="F204" s="31" t="n">
        <v>279.9</v>
      </c>
      <c r="G204" s="31" t="n">
        <v>76</v>
      </c>
      <c r="H204" s="31" t="n">
        <v>42.6</v>
      </c>
      <c r="I204" s="27" t="s">
        <v>323</v>
      </c>
      <c r="J204" s="27"/>
    </row>
    <row r="205" customFormat="false" ht="15" hidden="false" customHeight="false" outlineLevel="0" collapsed="false">
      <c r="A205" s="31" t="n">
        <v>2025</v>
      </c>
      <c r="B205" s="27" t="s">
        <v>334</v>
      </c>
      <c r="C205" s="31" t="n">
        <v>305</v>
      </c>
      <c r="D205" s="31" t="n">
        <v>2</v>
      </c>
      <c r="E205" s="31" t="n">
        <v>390</v>
      </c>
      <c r="F205" s="31" t="n">
        <v>251.9</v>
      </c>
      <c r="G205" s="31" t="n">
        <v>77</v>
      </c>
      <c r="H205" s="31" t="n">
        <v>30.1</v>
      </c>
      <c r="I205" s="27" t="s">
        <v>323</v>
      </c>
      <c r="J205" s="27"/>
    </row>
    <row r="206" customFormat="false" ht="15" hidden="false" customHeight="false" outlineLevel="0" collapsed="false">
      <c r="A206" s="31" t="n">
        <v>2026</v>
      </c>
      <c r="B206" s="27" t="s">
        <v>36</v>
      </c>
      <c r="C206" s="31" t="n">
        <v>1</v>
      </c>
      <c r="D206" s="31" t="n">
        <v>4</v>
      </c>
      <c r="E206" s="31" t="n">
        <v>580</v>
      </c>
      <c r="F206" s="31" t="n">
        <v>205.9</v>
      </c>
      <c r="G206" s="31" t="n">
        <v>1</v>
      </c>
      <c r="H206" s="31" t="n">
        <v>895.5</v>
      </c>
      <c r="I206" s="27" t="s">
        <v>323</v>
      </c>
      <c r="J206" s="27"/>
    </row>
    <row r="207" customFormat="false" ht="15" hidden="false" customHeight="false" outlineLevel="0" collapsed="false">
      <c r="A207" s="31" t="n">
        <v>2026</v>
      </c>
      <c r="B207" s="27" t="s">
        <v>35</v>
      </c>
      <c r="C207" s="31" t="n">
        <v>8</v>
      </c>
      <c r="D207" s="31" t="n">
        <v>4</v>
      </c>
      <c r="E207" s="31" t="n">
        <v>587</v>
      </c>
      <c r="F207" s="31" t="n">
        <v>185.1</v>
      </c>
      <c r="G207" s="31" t="n">
        <v>2</v>
      </c>
      <c r="H207" s="31" t="n">
        <v>856.7</v>
      </c>
      <c r="I207" s="27" t="s">
        <v>323</v>
      </c>
      <c r="J207" s="27"/>
    </row>
    <row r="208" customFormat="false" ht="15" hidden="false" customHeight="false" outlineLevel="0" collapsed="false">
      <c r="A208" s="31" t="n">
        <v>2026</v>
      </c>
      <c r="B208" s="27" t="s">
        <v>153</v>
      </c>
      <c r="C208" s="31" t="n">
        <v>6</v>
      </c>
      <c r="D208" s="31" t="n">
        <v>4</v>
      </c>
      <c r="E208" s="31" t="n">
        <v>400</v>
      </c>
      <c r="F208" s="31" t="n">
        <v>179.6</v>
      </c>
      <c r="G208" s="31" t="n">
        <v>3</v>
      </c>
      <c r="H208" s="31" t="n">
        <v>807.2</v>
      </c>
      <c r="I208" s="27" t="s">
        <v>323</v>
      </c>
      <c r="J208" s="27"/>
    </row>
    <row r="209" customFormat="false" ht="15" hidden="false" customHeight="false" outlineLevel="0" collapsed="false">
      <c r="A209" s="16" t="n">
        <v>2026</v>
      </c>
      <c r="B209" s="36" t="s">
        <v>148</v>
      </c>
      <c r="C209" s="16" t="n">
        <v>46</v>
      </c>
      <c r="D209" s="16" t="n">
        <v>4</v>
      </c>
      <c r="E209" s="16" t="n">
        <v>600</v>
      </c>
      <c r="F209" s="16" t="n">
        <v>191.4</v>
      </c>
      <c r="G209" s="16" t="n">
        <v>4</v>
      </c>
      <c r="H209" s="16" t="n">
        <v>756.9</v>
      </c>
      <c r="I209" s="36" t="s">
        <v>323</v>
      </c>
      <c r="J209" s="36" t="s">
        <v>105</v>
      </c>
    </row>
    <row r="210" customFormat="false" ht="15" hidden="false" customHeight="false" outlineLevel="0" collapsed="false">
      <c r="A210" s="31" t="n">
        <v>2026</v>
      </c>
      <c r="B210" s="27" t="s">
        <v>155</v>
      </c>
      <c r="C210" s="31" t="n">
        <v>103</v>
      </c>
      <c r="D210" s="31" t="n">
        <v>1</v>
      </c>
      <c r="E210" s="31" t="n">
        <v>470</v>
      </c>
      <c r="F210" s="31" t="n">
        <v>211.4</v>
      </c>
      <c r="G210" s="31" t="n">
        <v>5</v>
      </c>
      <c r="H210" s="31" t="n">
        <v>756.8</v>
      </c>
      <c r="I210" s="27" t="s">
        <v>323</v>
      </c>
      <c r="J210" s="27"/>
    </row>
    <row r="211" customFormat="false" ht="15" hidden="false" customHeight="false" outlineLevel="0" collapsed="false">
      <c r="A211" s="31" t="n">
        <v>2026</v>
      </c>
      <c r="B211" s="27" t="s">
        <v>152</v>
      </c>
      <c r="C211" s="31" t="n">
        <v>38</v>
      </c>
      <c r="D211" s="31" t="n">
        <v>4</v>
      </c>
      <c r="E211" s="31" t="n">
        <v>575</v>
      </c>
      <c r="F211" s="31" t="n">
        <v>164.7</v>
      </c>
      <c r="G211" s="31" t="n">
        <v>6</v>
      </c>
      <c r="H211" s="31" t="n">
        <v>743.9</v>
      </c>
      <c r="I211" s="27" t="s">
        <v>323</v>
      </c>
      <c r="J211" s="27"/>
    </row>
    <row r="212" customFormat="false" ht="15" hidden="false" customHeight="false" outlineLevel="0" collapsed="false">
      <c r="A212" s="31" t="n">
        <v>2026</v>
      </c>
      <c r="B212" s="27" t="s">
        <v>163</v>
      </c>
      <c r="C212" s="31" t="n">
        <v>62</v>
      </c>
      <c r="D212" s="31" t="n">
        <v>1</v>
      </c>
      <c r="E212" s="31" t="n">
        <v>420</v>
      </c>
      <c r="F212" s="31" t="n">
        <v>214.1</v>
      </c>
      <c r="G212" s="31" t="n">
        <v>7</v>
      </c>
      <c r="H212" s="31" t="n">
        <v>717.5</v>
      </c>
      <c r="I212" s="27" t="s">
        <v>323</v>
      </c>
      <c r="J212" s="27"/>
    </row>
    <row r="213" customFormat="false" ht="15" hidden="false" customHeight="false" outlineLevel="0" collapsed="false">
      <c r="A213" s="31" t="n">
        <v>2026</v>
      </c>
      <c r="B213" s="27" t="s">
        <v>165</v>
      </c>
      <c r="C213" s="31" t="n">
        <v>30</v>
      </c>
      <c r="D213" s="31" t="n">
        <v>1</v>
      </c>
      <c r="E213" s="31" t="n">
        <v>300</v>
      </c>
      <c r="F213" s="31" t="n">
        <v>226.3</v>
      </c>
      <c r="G213" s="31" t="n">
        <v>8</v>
      </c>
      <c r="H213" s="31" t="n">
        <v>696</v>
      </c>
      <c r="I213" s="27" t="s">
        <v>323</v>
      </c>
      <c r="J213" s="27"/>
    </row>
    <row r="214" customFormat="false" ht="15" hidden="false" customHeight="false" outlineLevel="0" collapsed="false">
      <c r="A214" s="31" t="n">
        <v>2026</v>
      </c>
      <c r="B214" s="27" t="s">
        <v>158</v>
      </c>
      <c r="C214" s="31" t="n">
        <v>19</v>
      </c>
      <c r="D214" s="31" t="n">
        <v>4</v>
      </c>
      <c r="E214" s="31" t="n">
        <v>540</v>
      </c>
      <c r="F214" s="31" t="n">
        <v>199.1</v>
      </c>
      <c r="G214" s="31" t="n">
        <v>9</v>
      </c>
      <c r="H214" s="31" t="n">
        <v>681.3</v>
      </c>
      <c r="I214" s="27" t="s">
        <v>323</v>
      </c>
      <c r="J214" s="27"/>
    </row>
    <row r="215" customFormat="false" ht="15" hidden="false" customHeight="false" outlineLevel="0" collapsed="false">
      <c r="A215" s="31" t="n">
        <v>2026</v>
      </c>
      <c r="B215" s="27" t="s">
        <v>147</v>
      </c>
      <c r="C215" s="31" t="n">
        <v>65</v>
      </c>
      <c r="D215" s="31" t="n">
        <v>4</v>
      </c>
      <c r="E215" s="31" t="n">
        <v>600</v>
      </c>
      <c r="F215" s="31" t="n">
        <v>204.6</v>
      </c>
      <c r="G215" s="31" t="n">
        <v>10</v>
      </c>
      <c r="H215" s="31" t="n">
        <v>671.3</v>
      </c>
      <c r="I215" s="27" t="s">
        <v>323</v>
      </c>
      <c r="J215" s="27"/>
    </row>
    <row r="216" customFormat="false" ht="15" hidden="false" customHeight="false" outlineLevel="0" collapsed="false">
      <c r="A216" s="31" t="n">
        <v>2026</v>
      </c>
      <c r="B216" s="27" t="s">
        <v>34</v>
      </c>
      <c r="C216" s="31" t="n">
        <v>99</v>
      </c>
      <c r="D216" s="31" t="n">
        <v>4</v>
      </c>
      <c r="E216" s="31" t="n">
        <v>600</v>
      </c>
      <c r="F216" s="31" t="n">
        <v>181</v>
      </c>
      <c r="G216" s="31" t="n">
        <v>11</v>
      </c>
      <c r="H216" s="31" t="n">
        <v>625.8</v>
      </c>
      <c r="I216" s="27" t="s">
        <v>323</v>
      </c>
      <c r="J216" s="27"/>
    </row>
    <row r="217" customFormat="false" ht="15" hidden="false" customHeight="false" outlineLevel="0" collapsed="false">
      <c r="A217" s="31" t="n">
        <v>2026</v>
      </c>
      <c r="B217" s="27" t="s">
        <v>181</v>
      </c>
      <c r="C217" s="31" t="n">
        <v>98</v>
      </c>
      <c r="D217" s="31" t="n">
        <v>1</v>
      </c>
      <c r="E217" s="31" t="n">
        <v>550</v>
      </c>
      <c r="F217" s="31" t="n">
        <v>204.6</v>
      </c>
      <c r="G217" s="31" t="n">
        <v>12</v>
      </c>
      <c r="H217" s="31" t="n">
        <v>609.7</v>
      </c>
      <c r="I217" s="27" t="s">
        <v>323</v>
      </c>
      <c r="J217" s="27"/>
    </row>
    <row r="218" customFormat="false" ht="15" hidden="false" customHeight="false" outlineLevel="0" collapsed="false">
      <c r="A218" s="31" t="n">
        <v>2026</v>
      </c>
      <c r="B218" s="27" t="s">
        <v>182</v>
      </c>
      <c r="C218" s="31" t="n">
        <v>14</v>
      </c>
      <c r="D218" s="31" t="n">
        <v>4</v>
      </c>
      <c r="E218" s="31" t="n">
        <v>588</v>
      </c>
      <c r="F218" s="31" t="n">
        <v>196.9</v>
      </c>
      <c r="G218" s="31" t="n">
        <v>13</v>
      </c>
      <c r="H218" s="31" t="n">
        <v>576.1</v>
      </c>
      <c r="I218" s="27" t="s">
        <v>323</v>
      </c>
      <c r="J218" s="27"/>
    </row>
    <row r="219" customFormat="false" ht="15" hidden="false" customHeight="false" outlineLevel="0" collapsed="false">
      <c r="A219" s="31" t="n">
        <v>2026</v>
      </c>
      <c r="B219" s="27" t="s">
        <v>151</v>
      </c>
      <c r="C219" s="31" t="n">
        <v>5</v>
      </c>
      <c r="D219" s="31" t="n">
        <v>4</v>
      </c>
      <c r="E219" s="31" t="n">
        <v>540</v>
      </c>
      <c r="F219" s="31" t="n">
        <v>220</v>
      </c>
      <c r="G219" s="31" t="n">
        <v>14</v>
      </c>
      <c r="H219" s="31" t="n">
        <v>562.4</v>
      </c>
      <c r="I219" s="27" t="s">
        <v>323</v>
      </c>
      <c r="J219" s="27"/>
    </row>
    <row r="220" customFormat="false" ht="15" hidden="false" customHeight="false" outlineLevel="0" collapsed="false">
      <c r="A220" s="31" t="n">
        <v>2026</v>
      </c>
      <c r="B220" s="27" t="s">
        <v>166</v>
      </c>
      <c r="C220" s="31" t="n">
        <v>70</v>
      </c>
      <c r="D220" s="31" t="n">
        <v>1</v>
      </c>
      <c r="E220" s="31" t="n">
        <v>600</v>
      </c>
      <c r="F220" s="31" t="n">
        <v>201.4</v>
      </c>
      <c r="G220" s="31" t="n">
        <v>15</v>
      </c>
      <c r="H220" s="31" t="n">
        <v>543</v>
      </c>
      <c r="I220" s="27" t="s">
        <v>323</v>
      </c>
      <c r="J220" s="27"/>
    </row>
    <row r="221" customFormat="false" ht="15" hidden="false" customHeight="false" outlineLevel="0" collapsed="false">
      <c r="A221" s="31" t="n">
        <v>2026</v>
      </c>
      <c r="B221" s="27" t="s">
        <v>183</v>
      </c>
      <c r="C221" s="31" t="n">
        <v>111</v>
      </c>
      <c r="D221" s="31" t="n">
        <v>4</v>
      </c>
      <c r="E221" s="31" t="n">
        <v>530</v>
      </c>
      <c r="F221" s="31" t="n">
        <v>202.8</v>
      </c>
      <c r="G221" s="31" t="n">
        <v>16</v>
      </c>
      <c r="H221" s="31" t="n">
        <v>527.8</v>
      </c>
      <c r="I221" s="27" t="s">
        <v>323</v>
      </c>
      <c r="J221" s="27"/>
    </row>
    <row r="222" customFormat="false" ht="15" hidden="false" customHeight="false" outlineLevel="0" collapsed="false">
      <c r="A222" s="31" t="n">
        <v>2026</v>
      </c>
      <c r="B222" s="27" t="s">
        <v>184</v>
      </c>
      <c r="C222" s="31" t="n">
        <v>26</v>
      </c>
      <c r="D222" s="31" t="n">
        <v>1</v>
      </c>
      <c r="E222" s="31" t="n">
        <v>470</v>
      </c>
      <c r="F222" s="31" t="n">
        <v>209.1</v>
      </c>
      <c r="G222" s="31" t="n">
        <v>17</v>
      </c>
      <c r="H222" s="31" t="n">
        <v>508.5</v>
      </c>
      <c r="I222" s="27" t="s">
        <v>323</v>
      </c>
      <c r="J222" s="27"/>
    </row>
    <row r="223" customFormat="false" ht="15" hidden="false" customHeight="false" outlineLevel="0" collapsed="false">
      <c r="A223" s="31" t="n">
        <v>2026</v>
      </c>
      <c r="B223" s="27" t="s">
        <v>185</v>
      </c>
      <c r="C223" s="31" t="n">
        <v>21</v>
      </c>
      <c r="D223" s="31" t="n">
        <v>4</v>
      </c>
      <c r="E223" s="31" t="n">
        <v>600</v>
      </c>
      <c r="F223" s="31" t="n">
        <v>235.4</v>
      </c>
      <c r="G223" s="31" t="n">
        <v>18</v>
      </c>
      <c r="H223" s="31" t="n">
        <v>491.6</v>
      </c>
      <c r="I223" s="27" t="s">
        <v>323</v>
      </c>
      <c r="J223" s="27"/>
    </row>
    <row r="224" customFormat="false" ht="15" hidden="false" customHeight="false" outlineLevel="0" collapsed="false">
      <c r="A224" s="31" t="n">
        <v>2026</v>
      </c>
      <c r="B224" s="27" t="s">
        <v>186</v>
      </c>
      <c r="C224" s="31" t="n">
        <v>43</v>
      </c>
      <c r="D224" s="31" t="n">
        <v>1</v>
      </c>
      <c r="E224" s="31" t="n">
        <v>370</v>
      </c>
      <c r="F224" s="31" t="n">
        <v>215.5</v>
      </c>
      <c r="G224" s="31" t="n">
        <v>19</v>
      </c>
      <c r="H224" s="31" t="n">
        <v>475.1</v>
      </c>
      <c r="I224" s="27" t="s">
        <v>323</v>
      </c>
      <c r="J224" s="27"/>
    </row>
    <row r="225" customFormat="false" ht="15" hidden="false" customHeight="false" outlineLevel="0" collapsed="false">
      <c r="A225" s="31" t="n">
        <v>2026</v>
      </c>
      <c r="B225" s="27" t="s">
        <v>168</v>
      </c>
      <c r="C225" s="31" t="n">
        <v>9</v>
      </c>
      <c r="D225" s="31" t="n">
        <v>4</v>
      </c>
      <c r="E225" s="31" t="n">
        <v>600</v>
      </c>
      <c r="F225" s="31" t="n">
        <v>212.7</v>
      </c>
      <c r="G225" s="31" t="n">
        <v>20</v>
      </c>
      <c r="H225" s="31" t="n">
        <v>462</v>
      </c>
      <c r="I225" s="27" t="s">
        <v>323</v>
      </c>
      <c r="J225" s="27"/>
    </row>
    <row r="226" customFormat="false" ht="15" hidden="false" customHeight="false" outlineLevel="0" collapsed="false">
      <c r="A226" s="31" t="n">
        <v>2026</v>
      </c>
      <c r="B226" s="27" t="s">
        <v>187</v>
      </c>
      <c r="C226" s="31" t="n">
        <v>86</v>
      </c>
      <c r="D226" s="31" t="n">
        <v>1</v>
      </c>
      <c r="E226" s="31" t="n">
        <v>400</v>
      </c>
      <c r="F226" s="31" t="n">
        <v>214.5</v>
      </c>
      <c r="G226" s="31" t="n">
        <v>21</v>
      </c>
      <c r="H226" s="31" t="n">
        <v>429.4</v>
      </c>
      <c r="I226" s="27" t="s">
        <v>323</v>
      </c>
      <c r="J226" s="27"/>
    </row>
    <row r="227" customFormat="false" ht="15" hidden="false" customHeight="false" outlineLevel="0" collapsed="false">
      <c r="A227" s="31" t="n">
        <v>2026</v>
      </c>
      <c r="B227" s="27" t="s">
        <v>188</v>
      </c>
      <c r="C227" s="31" t="n">
        <v>112</v>
      </c>
      <c r="D227" s="31" t="n">
        <v>3</v>
      </c>
      <c r="E227" s="31" t="n">
        <v>480</v>
      </c>
      <c r="F227" s="31" t="n">
        <v>191</v>
      </c>
      <c r="G227" s="31" t="n">
        <v>22</v>
      </c>
      <c r="H227" s="31" t="n">
        <v>394.3</v>
      </c>
      <c r="I227" s="27" t="s">
        <v>323</v>
      </c>
      <c r="J227" s="27"/>
    </row>
    <row r="228" customFormat="false" ht="15" hidden="false" customHeight="false" outlineLevel="0" collapsed="false">
      <c r="A228" s="31" t="n">
        <v>2026</v>
      </c>
      <c r="B228" s="27" t="s">
        <v>149</v>
      </c>
      <c r="C228" s="31" t="n">
        <v>2</v>
      </c>
      <c r="D228" s="31" t="n">
        <v>1</v>
      </c>
      <c r="E228" s="31" t="n">
        <v>500</v>
      </c>
      <c r="F228" s="31" t="n">
        <v>204.1</v>
      </c>
      <c r="G228" s="31" t="n">
        <v>23</v>
      </c>
      <c r="H228" s="31" t="n">
        <v>391.5</v>
      </c>
      <c r="I228" s="27" t="s">
        <v>323</v>
      </c>
      <c r="J228" s="27"/>
    </row>
    <row r="229" customFormat="false" ht="15" hidden="false" customHeight="false" outlineLevel="0" collapsed="false">
      <c r="A229" s="31" t="n">
        <v>2026</v>
      </c>
      <c r="B229" s="27" t="s">
        <v>189</v>
      </c>
      <c r="C229" s="31" t="n">
        <v>93</v>
      </c>
      <c r="D229" s="31" t="n">
        <v>1</v>
      </c>
      <c r="E229" s="31" t="n">
        <v>550</v>
      </c>
      <c r="F229" s="31" t="n">
        <v>236.8</v>
      </c>
      <c r="G229" s="31" t="n">
        <v>24</v>
      </c>
      <c r="H229" s="31" t="n">
        <v>370.7</v>
      </c>
      <c r="I229" s="27" t="s">
        <v>323</v>
      </c>
      <c r="J229" s="27"/>
    </row>
    <row r="230" customFormat="false" ht="15" hidden="false" customHeight="false" outlineLevel="0" collapsed="false">
      <c r="A230" s="31" t="n">
        <v>2026</v>
      </c>
      <c r="B230" s="27" t="s">
        <v>190</v>
      </c>
      <c r="C230" s="31" t="n">
        <v>79</v>
      </c>
      <c r="D230" s="31" t="n">
        <v>1</v>
      </c>
      <c r="E230" s="31" t="n">
        <v>450</v>
      </c>
      <c r="F230" s="31" t="n">
        <v>208.7</v>
      </c>
      <c r="G230" s="31" t="n">
        <v>25</v>
      </c>
      <c r="H230" s="31" t="n">
        <v>364.8</v>
      </c>
      <c r="I230" s="27" t="s">
        <v>323</v>
      </c>
      <c r="J230" s="27"/>
    </row>
    <row r="231" customFormat="false" ht="15" hidden="false" customHeight="false" outlineLevel="0" collapsed="false">
      <c r="A231" s="31" t="n">
        <v>2026</v>
      </c>
      <c r="B231" s="27" t="s">
        <v>191</v>
      </c>
      <c r="C231" s="31" t="n">
        <v>66</v>
      </c>
      <c r="D231" s="31" t="n">
        <v>1</v>
      </c>
      <c r="E231" s="31" t="n">
        <v>478</v>
      </c>
      <c r="F231" s="31" t="n">
        <v>225</v>
      </c>
      <c r="G231" s="31" t="n">
        <v>26</v>
      </c>
      <c r="H231" s="31" t="n">
        <v>358.5</v>
      </c>
      <c r="I231" s="27" t="s">
        <v>323</v>
      </c>
      <c r="J231" s="27"/>
    </row>
    <row r="232" customFormat="false" ht="15" hidden="false" customHeight="false" outlineLevel="0" collapsed="false">
      <c r="A232" s="31" t="n">
        <v>2026</v>
      </c>
      <c r="B232" s="27" t="s">
        <v>192</v>
      </c>
      <c r="C232" s="31" t="n">
        <v>35</v>
      </c>
      <c r="D232" s="31" t="n">
        <v>1</v>
      </c>
      <c r="E232" s="31" t="n">
        <v>588</v>
      </c>
      <c r="F232" s="31" t="n">
        <v>217.3</v>
      </c>
      <c r="G232" s="31" t="n">
        <v>27</v>
      </c>
      <c r="H232" s="31" t="n">
        <v>324</v>
      </c>
      <c r="I232" s="27" t="s">
        <v>323</v>
      </c>
      <c r="J232" s="27"/>
    </row>
    <row r="233" customFormat="false" ht="15" hidden="false" customHeight="false" outlineLevel="0" collapsed="false">
      <c r="A233" s="31" t="n">
        <v>2026</v>
      </c>
      <c r="B233" s="27" t="s">
        <v>193</v>
      </c>
      <c r="C233" s="31" t="n">
        <v>87</v>
      </c>
      <c r="D233" s="31" t="n">
        <v>1</v>
      </c>
      <c r="E233" s="31" t="n">
        <v>400</v>
      </c>
      <c r="F233" s="31" t="n">
        <v>232.7</v>
      </c>
      <c r="G233" s="31" t="n">
        <v>28</v>
      </c>
      <c r="H233" s="31" t="n">
        <v>304</v>
      </c>
      <c r="I233" s="27" t="s">
        <v>323</v>
      </c>
      <c r="J233" s="27"/>
    </row>
    <row r="234" customFormat="false" ht="15" hidden="false" customHeight="false" outlineLevel="0" collapsed="false">
      <c r="A234" s="31" t="n">
        <v>2026</v>
      </c>
      <c r="B234" s="27" t="s">
        <v>194</v>
      </c>
      <c r="C234" s="31" t="n">
        <v>108</v>
      </c>
      <c r="D234" s="31" t="n">
        <v>1</v>
      </c>
      <c r="E234" s="31" t="n">
        <v>400</v>
      </c>
      <c r="F234" s="31" t="n">
        <v>238.1</v>
      </c>
      <c r="G234" s="31" t="n">
        <v>29</v>
      </c>
      <c r="H234" s="31" t="n">
        <v>288.4</v>
      </c>
      <c r="I234" s="27" t="s">
        <v>323</v>
      </c>
      <c r="J234" s="27"/>
    </row>
    <row r="235" customFormat="false" ht="15" hidden="false" customHeight="false" outlineLevel="0" collapsed="false">
      <c r="A235" s="31" t="n">
        <v>2026</v>
      </c>
      <c r="B235" s="27" t="s">
        <v>195</v>
      </c>
      <c r="C235" s="31" t="n">
        <v>104</v>
      </c>
      <c r="D235" s="31" t="n">
        <v>1</v>
      </c>
      <c r="E235" s="31" t="n">
        <v>588</v>
      </c>
      <c r="F235" s="31" t="n">
        <v>198.5</v>
      </c>
      <c r="G235" s="31" t="n">
        <v>30</v>
      </c>
      <c r="H235" s="31" t="n">
        <v>281.9</v>
      </c>
      <c r="I235" s="27" t="s">
        <v>323</v>
      </c>
      <c r="J235" s="27"/>
    </row>
    <row r="236" customFormat="false" ht="15" hidden="false" customHeight="false" outlineLevel="0" collapsed="false">
      <c r="A236" s="31" t="n">
        <v>2026</v>
      </c>
      <c r="B236" s="27" t="s">
        <v>150</v>
      </c>
      <c r="C236" s="31" t="n">
        <v>3</v>
      </c>
      <c r="D236" s="31" t="n">
        <v>4</v>
      </c>
      <c r="E236" s="31" t="n">
        <v>530</v>
      </c>
      <c r="F236" s="31" t="n">
        <v>194.6</v>
      </c>
      <c r="G236" s="31" t="n">
        <v>31</v>
      </c>
      <c r="H236" s="31" t="n">
        <v>274.5</v>
      </c>
      <c r="I236" s="27" t="s">
        <v>323</v>
      </c>
      <c r="J236" s="27"/>
    </row>
    <row r="237" customFormat="false" ht="15" hidden="false" customHeight="false" outlineLevel="0" collapsed="false">
      <c r="A237" s="31" t="n">
        <v>2026</v>
      </c>
      <c r="B237" s="27" t="s">
        <v>196</v>
      </c>
      <c r="C237" s="31" t="n">
        <v>56</v>
      </c>
      <c r="D237" s="31" t="n">
        <v>1</v>
      </c>
      <c r="E237" s="31" t="n">
        <v>350</v>
      </c>
      <c r="F237" s="31" t="n">
        <v>201.4</v>
      </c>
      <c r="G237" s="31" t="n">
        <v>32</v>
      </c>
      <c r="H237" s="31" t="n">
        <v>274.2</v>
      </c>
      <c r="I237" s="27" t="s">
        <v>323</v>
      </c>
      <c r="J237" s="27"/>
    </row>
    <row r="238" customFormat="false" ht="15" hidden="false" customHeight="false" outlineLevel="0" collapsed="false">
      <c r="A238" s="31" t="n">
        <v>2026</v>
      </c>
      <c r="B238" s="27" t="s">
        <v>33</v>
      </c>
      <c r="C238" s="31" t="n">
        <v>4</v>
      </c>
      <c r="D238" s="31" t="n">
        <v>4</v>
      </c>
      <c r="E238" s="31" t="n">
        <v>600</v>
      </c>
      <c r="F238" s="31" t="n">
        <v>195.5</v>
      </c>
      <c r="G238" s="31" t="n">
        <v>33</v>
      </c>
      <c r="H238" s="31" t="n">
        <v>273.1</v>
      </c>
      <c r="I238" s="27" t="s">
        <v>323</v>
      </c>
      <c r="J238" s="27"/>
    </row>
    <row r="239" customFormat="false" ht="15" hidden="false" customHeight="false" outlineLevel="0" collapsed="false">
      <c r="A239" s="31" t="n">
        <v>2026</v>
      </c>
      <c r="B239" s="27" t="s">
        <v>157</v>
      </c>
      <c r="C239" s="31" t="n">
        <v>113</v>
      </c>
      <c r="D239" s="31" t="n">
        <v>1</v>
      </c>
      <c r="E239" s="31" t="n">
        <v>588</v>
      </c>
      <c r="F239" s="31" t="n">
        <v>177.4</v>
      </c>
      <c r="G239" s="31" t="n">
        <v>34</v>
      </c>
      <c r="H239" s="31" t="n">
        <v>258.2</v>
      </c>
      <c r="I239" s="27" t="s">
        <v>323</v>
      </c>
      <c r="J239" s="27"/>
    </row>
    <row r="240" customFormat="false" ht="15" hidden="false" customHeight="false" outlineLevel="0" collapsed="false">
      <c r="A240" s="31" t="n">
        <v>2026</v>
      </c>
      <c r="B240" s="27" t="s">
        <v>159</v>
      </c>
      <c r="C240" s="31" t="n">
        <v>97</v>
      </c>
      <c r="D240" s="31" t="n">
        <v>1</v>
      </c>
      <c r="E240" s="31" t="n">
        <v>550</v>
      </c>
      <c r="F240" s="31" t="n">
        <v>177.6</v>
      </c>
      <c r="G240" s="31" t="n">
        <v>35</v>
      </c>
      <c r="H240" s="31" t="n">
        <v>251</v>
      </c>
      <c r="I240" s="27" t="s">
        <v>323</v>
      </c>
      <c r="J240" s="27"/>
    </row>
    <row r="241" customFormat="false" ht="15" hidden="false" customHeight="false" outlineLevel="0" collapsed="false">
      <c r="A241" s="31" t="n">
        <v>2026</v>
      </c>
      <c r="B241" s="27" t="s">
        <v>161</v>
      </c>
      <c r="C241" s="31" t="n">
        <v>92</v>
      </c>
      <c r="D241" s="31" t="n">
        <v>4</v>
      </c>
      <c r="E241" s="31" t="n">
        <v>600</v>
      </c>
      <c r="F241" s="31" t="n">
        <v>206.8</v>
      </c>
      <c r="G241" s="31" t="n">
        <v>36</v>
      </c>
      <c r="H241" s="31" t="n">
        <v>246.1</v>
      </c>
      <c r="I241" s="27" t="s">
        <v>323</v>
      </c>
      <c r="J241" s="27"/>
    </row>
    <row r="242" customFormat="false" ht="15" hidden="false" customHeight="false" outlineLevel="0" collapsed="false">
      <c r="A242" s="31" t="n">
        <v>2026</v>
      </c>
      <c r="B242" s="27" t="s">
        <v>197</v>
      </c>
      <c r="C242" s="31" t="n">
        <v>51</v>
      </c>
      <c r="D242" s="31" t="n">
        <v>1</v>
      </c>
      <c r="E242" s="31" t="n">
        <v>400</v>
      </c>
      <c r="F242" s="31" t="n">
        <v>203</v>
      </c>
      <c r="G242" s="31" t="n">
        <v>37</v>
      </c>
      <c r="H242" s="31" t="n">
        <v>244.7</v>
      </c>
      <c r="I242" s="27" t="s">
        <v>323</v>
      </c>
      <c r="J242" s="27"/>
    </row>
    <row r="243" customFormat="false" ht="15" hidden="false" customHeight="false" outlineLevel="0" collapsed="false">
      <c r="A243" s="31" t="n">
        <v>2026</v>
      </c>
      <c r="B243" s="27" t="s">
        <v>169</v>
      </c>
      <c r="C243" s="31" t="n">
        <v>17</v>
      </c>
      <c r="D243" s="31" t="n">
        <v>4</v>
      </c>
      <c r="E243" s="31" t="n">
        <v>575</v>
      </c>
      <c r="F243" s="31" t="n">
        <v>203.7</v>
      </c>
      <c r="G243" s="31" t="n">
        <v>38</v>
      </c>
      <c r="H243" s="31" t="n">
        <v>238.8</v>
      </c>
      <c r="I243" s="27" t="s">
        <v>323</v>
      </c>
      <c r="J243" s="27"/>
    </row>
    <row r="244" customFormat="false" ht="15" hidden="false" customHeight="false" outlineLevel="0" collapsed="false">
      <c r="A244" s="31" t="n">
        <v>2026</v>
      </c>
      <c r="B244" s="27" t="s">
        <v>162</v>
      </c>
      <c r="C244" s="31" t="n">
        <v>7</v>
      </c>
      <c r="D244" s="31" t="n">
        <v>1</v>
      </c>
      <c r="E244" s="31" t="n">
        <v>520</v>
      </c>
      <c r="F244" s="31" t="n">
        <v>200</v>
      </c>
      <c r="G244" s="31" t="n">
        <v>39</v>
      </c>
      <c r="H244" s="31" t="n">
        <v>235</v>
      </c>
      <c r="I244" s="27" t="s">
        <v>323</v>
      </c>
      <c r="J244" s="27"/>
    </row>
    <row r="245" customFormat="false" ht="15" hidden="false" customHeight="false" outlineLevel="0" collapsed="false">
      <c r="A245" s="31" t="n">
        <v>2026</v>
      </c>
      <c r="B245" s="27" t="s">
        <v>198</v>
      </c>
      <c r="C245" s="31" t="n">
        <v>89</v>
      </c>
      <c r="D245" s="31" t="n">
        <v>1</v>
      </c>
      <c r="E245" s="31" t="n">
        <v>550</v>
      </c>
      <c r="F245" s="31" t="n">
        <v>184.1</v>
      </c>
      <c r="G245" s="31" t="n">
        <v>40</v>
      </c>
      <c r="H245" s="31" t="n">
        <v>235</v>
      </c>
      <c r="I245" s="27" t="s">
        <v>323</v>
      </c>
      <c r="J245" s="27"/>
    </row>
    <row r="246" customFormat="false" ht="15" hidden="false" customHeight="false" outlineLevel="0" collapsed="false">
      <c r="A246" s="31" t="n">
        <v>2026</v>
      </c>
      <c r="B246" s="27" t="s">
        <v>199</v>
      </c>
      <c r="C246" s="31" t="n">
        <v>29</v>
      </c>
      <c r="D246" s="31" t="n">
        <v>1</v>
      </c>
      <c r="E246" s="31" t="n">
        <v>300</v>
      </c>
      <c r="F246" s="31" t="n">
        <v>207.3</v>
      </c>
      <c r="G246" s="31" t="n">
        <v>41</v>
      </c>
      <c r="H246" s="31" t="n">
        <v>232.9</v>
      </c>
      <c r="I246" s="27" t="s">
        <v>323</v>
      </c>
      <c r="J246" s="27"/>
    </row>
    <row r="247" customFormat="false" ht="15" hidden="false" customHeight="false" outlineLevel="0" collapsed="false">
      <c r="A247" s="31" t="n">
        <v>2026</v>
      </c>
      <c r="B247" s="27" t="s">
        <v>200</v>
      </c>
      <c r="C247" s="31" t="n">
        <v>110</v>
      </c>
      <c r="D247" s="31" t="n">
        <v>4</v>
      </c>
      <c r="E247" s="31" t="n">
        <v>420</v>
      </c>
      <c r="F247" s="31" t="n">
        <v>173.7</v>
      </c>
      <c r="G247" s="31" t="n">
        <v>42</v>
      </c>
      <c r="H247" s="31" t="n">
        <v>228.1</v>
      </c>
      <c r="I247" s="27" t="s">
        <v>323</v>
      </c>
      <c r="J247" s="27"/>
    </row>
    <row r="248" customFormat="false" ht="15" hidden="false" customHeight="false" outlineLevel="0" collapsed="false">
      <c r="A248" s="31" t="n">
        <v>2026</v>
      </c>
      <c r="B248" s="27" t="s">
        <v>201</v>
      </c>
      <c r="C248" s="31" t="n">
        <v>115</v>
      </c>
      <c r="D248" s="31" t="n">
        <v>1</v>
      </c>
      <c r="E248" s="31" t="n">
        <v>440</v>
      </c>
      <c r="F248" s="31" t="n">
        <v>224.1</v>
      </c>
      <c r="G248" s="31" t="n">
        <v>43</v>
      </c>
      <c r="H248" s="31" t="n">
        <v>227.7</v>
      </c>
      <c r="I248" s="27" t="s">
        <v>323</v>
      </c>
      <c r="J248" s="27"/>
    </row>
    <row r="249" customFormat="false" ht="15" hidden="false" customHeight="false" outlineLevel="0" collapsed="false">
      <c r="A249" s="31" t="n">
        <v>2026</v>
      </c>
      <c r="B249" s="27" t="s">
        <v>202</v>
      </c>
      <c r="C249" s="31" t="n">
        <v>100</v>
      </c>
      <c r="D249" s="31" t="n">
        <v>1</v>
      </c>
      <c r="E249" s="31" t="n">
        <v>588</v>
      </c>
      <c r="F249" s="31" t="n">
        <v>209.7</v>
      </c>
      <c r="G249" s="31" t="n">
        <v>44</v>
      </c>
      <c r="H249" s="31" t="n">
        <v>223.2</v>
      </c>
      <c r="I249" s="27" t="s">
        <v>323</v>
      </c>
      <c r="J249" s="27"/>
    </row>
    <row r="250" customFormat="false" ht="15" hidden="false" customHeight="false" outlineLevel="0" collapsed="false">
      <c r="A250" s="31" t="n">
        <v>2026</v>
      </c>
      <c r="B250" s="27" t="s">
        <v>203</v>
      </c>
      <c r="C250" s="31" t="n">
        <v>74</v>
      </c>
      <c r="D250" s="31" t="n">
        <v>1</v>
      </c>
      <c r="E250" s="31" t="n">
        <v>600</v>
      </c>
      <c r="F250" s="31" t="n">
        <v>211.4</v>
      </c>
      <c r="G250" s="31" t="n">
        <v>45</v>
      </c>
      <c r="H250" s="31" t="n">
        <v>220.5</v>
      </c>
      <c r="I250" s="27" t="s">
        <v>323</v>
      </c>
      <c r="J250" s="27"/>
    </row>
    <row r="251" customFormat="false" ht="15" hidden="false" customHeight="false" outlineLevel="0" collapsed="false">
      <c r="A251" s="31" t="n">
        <v>2026</v>
      </c>
      <c r="B251" s="27" t="s">
        <v>204</v>
      </c>
      <c r="C251" s="31" t="n">
        <v>109</v>
      </c>
      <c r="D251" s="31" t="n">
        <v>1</v>
      </c>
      <c r="E251" s="31" t="n">
        <v>600</v>
      </c>
      <c r="F251" s="31" t="n">
        <v>217.7</v>
      </c>
      <c r="G251" s="31" t="n">
        <v>46</v>
      </c>
      <c r="H251" s="31" t="n">
        <v>219.7</v>
      </c>
      <c r="I251" s="27" t="s">
        <v>323</v>
      </c>
      <c r="J251" s="27"/>
    </row>
    <row r="252" customFormat="false" ht="15" hidden="false" customHeight="false" outlineLevel="0" collapsed="false">
      <c r="A252" s="31" t="n">
        <v>2026</v>
      </c>
      <c r="B252" s="27" t="s">
        <v>205</v>
      </c>
      <c r="C252" s="31" t="n">
        <v>32</v>
      </c>
      <c r="D252" s="31" t="n">
        <v>1</v>
      </c>
      <c r="E252" s="31" t="n">
        <v>378</v>
      </c>
      <c r="F252" s="31" t="n">
        <v>209.3</v>
      </c>
      <c r="G252" s="31" t="n">
        <v>47</v>
      </c>
      <c r="H252" s="31" t="n">
        <v>218.8</v>
      </c>
      <c r="I252" s="27" t="s">
        <v>323</v>
      </c>
      <c r="J252" s="27"/>
    </row>
    <row r="253" customFormat="false" ht="15" hidden="false" customHeight="false" outlineLevel="0" collapsed="false">
      <c r="A253" s="31" t="n">
        <v>2026</v>
      </c>
      <c r="B253" s="27" t="s">
        <v>206</v>
      </c>
      <c r="C253" s="31" t="n">
        <v>96</v>
      </c>
      <c r="D253" s="31" t="n">
        <v>1</v>
      </c>
      <c r="E253" s="31" t="n">
        <v>125</v>
      </c>
      <c r="F253" s="31" t="n">
        <v>218.2</v>
      </c>
      <c r="G253" s="31" t="n">
        <v>48</v>
      </c>
      <c r="H253" s="31" t="n">
        <v>217</v>
      </c>
      <c r="I253" s="27" t="s">
        <v>323</v>
      </c>
      <c r="J253" s="27"/>
    </row>
    <row r="254" customFormat="false" ht="15" hidden="false" customHeight="false" outlineLevel="0" collapsed="false">
      <c r="A254" s="31" t="n">
        <v>2026</v>
      </c>
      <c r="B254" s="27" t="s">
        <v>207</v>
      </c>
      <c r="C254" s="31" t="n">
        <v>68</v>
      </c>
      <c r="D254" s="31" t="n">
        <v>1</v>
      </c>
      <c r="E254" s="31" t="n">
        <v>585</v>
      </c>
      <c r="F254" s="31" t="n">
        <v>228.2</v>
      </c>
      <c r="G254" s="31" t="n">
        <v>49</v>
      </c>
      <c r="H254" s="31" t="n">
        <v>214.8</v>
      </c>
      <c r="I254" s="27" t="s">
        <v>323</v>
      </c>
      <c r="J254" s="27"/>
    </row>
    <row r="255" customFormat="false" ht="15" hidden="false" customHeight="false" outlineLevel="0" collapsed="false">
      <c r="A255" s="31" t="n">
        <v>2026</v>
      </c>
      <c r="B255" s="27" t="s">
        <v>208</v>
      </c>
      <c r="C255" s="31" t="n">
        <v>57</v>
      </c>
      <c r="D255" s="31" t="n">
        <v>1</v>
      </c>
      <c r="E255" s="31" t="n">
        <v>500</v>
      </c>
      <c r="F255" s="31" t="n">
        <v>212.3</v>
      </c>
      <c r="G255" s="31" t="n">
        <v>50</v>
      </c>
      <c r="H255" s="31" t="n">
        <v>212.9</v>
      </c>
      <c r="I255" s="27" t="s">
        <v>323</v>
      </c>
      <c r="J255" s="27"/>
    </row>
    <row r="256" customFormat="false" ht="15" hidden="false" customHeight="false" outlineLevel="0" collapsed="false">
      <c r="A256" s="31" t="n">
        <v>2026</v>
      </c>
      <c r="B256" s="27" t="s">
        <v>154</v>
      </c>
      <c r="C256" s="31" t="n">
        <v>25</v>
      </c>
      <c r="D256" s="31" t="n">
        <v>4</v>
      </c>
      <c r="E256" s="31" t="n">
        <v>600</v>
      </c>
      <c r="F256" s="31" t="n">
        <v>240.4</v>
      </c>
      <c r="G256" s="31" t="n">
        <v>51</v>
      </c>
      <c r="H256" s="31" t="n">
        <v>211.1</v>
      </c>
      <c r="I256" s="27" t="s">
        <v>323</v>
      </c>
      <c r="J256" s="27"/>
    </row>
    <row r="257" customFormat="false" ht="15" hidden="false" customHeight="false" outlineLevel="0" collapsed="false">
      <c r="A257" s="31" t="n">
        <v>2026</v>
      </c>
      <c r="B257" s="27" t="s">
        <v>160</v>
      </c>
      <c r="C257" s="31" t="n">
        <v>23</v>
      </c>
      <c r="D257" s="31" t="n">
        <v>4</v>
      </c>
      <c r="E257" s="31" t="n">
        <v>425</v>
      </c>
      <c r="F257" s="31" t="n">
        <v>237.2</v>
      </c>
      <c r="G257" s="31" t="n">
        <v>52</v>
      </c>
      <c r="H257" s="31" t="n">
        <v>199.6</v>
      </c>
      <c r="I257" s="27" t="s">
        <v>323</v>
      </c>
      <c r="J257" s="27"/>
    </row>
    <row r="258" customFormat="false" ht="15" hidden="false" customHeight="false" outlineLevel="0" collapsed="false">
      <c r="A258" s="31" t="n">
        <v>2026</v>
      </c>
      <c r="B258" s="27" t="s">
        <v>170</v>
      </c>
      <c r="C258" s="31" t="n">
        <v>10</v>
      </c>
      <c r="D258" s="31" t="n">
        <v>4</v>
      </c>
      <c r="E258" s="31" t="n">
        <v>535</v>
      </c>
      <c r="F258" s="31" t="n">
        <v>203</v>
      </c>
      <c r="G258" s="31" t="n">
        <v>53</v>
      </c>
      <c r="H258" s="31" t="n">
        <v>192.3</v>
      </c>
      <c r="I258" s="27" t="s">
        <v>323</v>
      </c>
      <c r="J258" s="27"/>
    </row>
    <row r="259" customFormat="false" ht="15" hidden="false" customHeight="false" outlineLevel="0" collapsed="false">
      <c r="A259" s="31" t="n">
        <v>2026</v>
      </c>
      <c r="B259" s="27" t="s">
        <v>209</v>
      </c>
      <c r="C259" s="31" t="n">
        <v>24</v>
      </c>
      <c r="D259" s="31" t="n">
        <v>1</v>
      </c>
      <c r="E259" s="31" t="n">
        <v>530</v>
      </c>
      <c r="F259" s="31" t="n">
        <v>206.8</v>
      </c>
      <c r="G259" s="31" t="n">
        <v>54</v>
      </c>
      <c r="H259" s="31" t="n">
        <v>190.9</v>
      </c>
      <c r="I259" s="27" t="s">
        <v>323</v>
      </c>
      <c r="J259" s="27"/>
    </row>
    <row r="260" customFormat="false" ht="15" hidden="false" customHeight="false" outlineLevel="0" collapsed="false">
      <c r="A260" s="31" t="n">
        <v>2026</v>
      </c>
      <c r="B260" s="27" t="s">
        <v>210</v>
      </c>
      <c r="C260" s="31" t="n">
        <v>102</v>
      </c>
      <c r="D260" s="31" t="n">
        <v>1</v>
      </c>
      <c r="E260" s="31" t="n">
        <v>588</v>
      </c>
      <c r="F260" s="31" t="n">
        <v>198.7</v>
      </c>
      <c r="G260" s="31" t="n">
        <v>55</v>
      </c>
      <c r="H260" s="31" t="n">
        <v>188.8</v>
      </c>
      <c r="I260" s="27" t="s">
        <v>323</v>
      </c>
      <c r="J260" s="27"/>
    </row>
    <row r="261" customFormat="false" ht="15" hidden="false" customHeight="false" outlineLevel="0" collapsed="false">
      <c r="A261" s="31" t="n">
        <v>2026</v>
      </c>
      <c r="B261" s="27" t="s">
        <v>211</v>
      </c>
      <c r="C261" s="31" t="n">
        <v>101</v>
      </c>
      <c r="D261" s="31" t="n">
        <v>2</v>
      </c>
      <c r="E261" s="31" t="n">
        <v>600</v>
      </c>
      <c r="F261" s="31" t="n">
        <v>189.5</v>
      </c>
      <c r="G261" s="31" t="n">
        <v>56</v>
      </c>
      <c r="H261" s="31" t="n">
        <v>186.9</v>
      </c>
      <c r="I261" s="27" t="s">
        <v>323</v>
      </c>
      <c r="J261" s="27"/>
    </row>
    <row r="262" customFormat="false" ht="15" hidden="false" customHeight="false" outlineLevel="0" collapsed="false">
      <c r="A262" s="31" t="n">
        <v>2026</v>
      </c>
      <c r="B262" s="27" t="s">
        <v>212</v>
      </c>
      <c r="C262" s="31" t="n">
        <v>33</v>
      </c>
      <c r="D262" s="31" t="n">
        <v>1</v>
      </c>
      <c r="E262" s="31" t="n">
        <v>350</v>
      </c>
      <c r="F262" s="31" t="n">
        <v>197.9</v>
      </c>
      <c r="G262" s="31" t="n">
        <v>57</v>
      </c>
      <c r="H262" s="31" t="n">
        <v>186.2</v>
      </c>
      <c r="I262" s="27" t="s">
        <v>323</v>
      </c>
      <c r="J262" s="27"/>
    </row>
    <row r="263" customFormat="false" ht="15" hidden="false" customHeight="false" outlineLevel="0" collapsed="false">
      <c r="A263" s="31" t="n">
        <v>2026</v>
      </c>
      <c r="B263" s="27" t="s">
        <v>213</v>
      </c>
      <c r="C263" s="31" t="n">
        <v>73</v>
      </c>
      <c r="D263" s="31" t="n">
        <v>1</v>
      </c>
      <c r="E263" s="31" t="n">
        <v>335</v>
      </c>
      <c r="F263" s="31" t="n">
        <v>191.2</v>
      </c>
      <c r="G263" s="31" t="n">
        <v>58</v>
      </c>
      <c r="H263" s="31" t="n">
        <v>181.2</v>
      </c>
      <c r="I263" s="27" t="s">
        <v>323</v>
      </c>
      <c r="J263" s="27"/>
    </row>
    <row r="264" customFormat="false" ht="15" hidden="false" customHeight="false" outlineLevel="0" collapsed="false">
      <c r="A264" s="31" t="n">
        <v>2026</v>
      </c>
      <c r="B264" s="27" t="s">
        <v>214</v>
      </c>
      <c r="C264" s="31" t="n">
        <v>42</v>
      </c>
      <c r="D264" s="31" t="n">
        <v>1</v>
      </c>
      <c r="E264" s="31" t="n">
        <v>500</v>
      </c>
      <c r="F264" s="31" t="n">
        <v>215.6</v>
      </c>
      <c r="G264" s="31" t="n">
        <v>59</v>
      </c>
      <c r="H264" s="31" t="n">
        <v>178.1</v>
      </c>
      <c r="I264" s="27" t="s">
        <v>323</v>
      </c>
      <c r="J264" s="27"/>
    </row>
    <row r="265" customFormat="false" ht="15" hidden="false" customHeight="false" outlineLevel="0" collapsed="false">
      <c r="A265" s="31" t="n">
        <v>2026</v>
      </c>
      <c r="B265" s="27" t="s">
        <v>215</v>
      </c>
      <c r="C265" s="31" t="n">
        <v>61</v>
      </c>
      <c r="D265" s="31" t="n">
        <v>1</v>
      </c>
      <c r="E265" s="31" t="n">
        <v>375</v>
      </c>
      <c r="F265" s="31" t="n">
        <v>234.5</v>
      </c>
      <c r="G265" s="31" t="n">
        <v>60</v>
      </c>
      <c r="H265" s="31" t="n">
        <v>174.5</v>
      </c>
      <c r="I265" s="27" t="s">
        <v>323</v>
      </c>
      <c r="J265" s="27"/>
    </row>
    <row r="266" customFormat="false" ht="15" hidden="false" customHeight="false" outlineLevel="0" collapsed="false">
      <c r="A266" s="31" t="n">
        <v>2026</v>
      </c>
      <c r="B266" s="27" t="s">
        <v>216</v>
      </c>
      <c r="C266" s="31" t="n">
        <v>105</v>
      </c>
      <c r="D266" s="31" t="n">
        <v>1</v>
      </c>
      <c r="E266" s="31" t="n">
        <v>420</v>
      </c>
      <c r="F266" s="31" t="n">
        <v>258.1</v>
      </c>
      <c r="G266" s="31" t="n">
        <v>61</v>
      </c>
      <c r="H266" s="31" t="n">
        <v>166.9</v>
      </c>
      <c r="I266" s="27" t="s">
        <v>323</v>
      </c>
      <c r="J266" s="27"/>
    </row>
    <row r="267" customFormat="false" ht="15" hidden="false" customHeight="false" outlineLevel="0" collapsed="false">
      <c r="A267" s="31" t="n">
        <v>2026</v>
      </c>
      <c r="B267" s="27" t="s">
        <v>217</v>
      </c>
      <c r="C267" s="31" t="n">
        <v>18</v>
      </c>
      <c r="D267" s="31" t="n">
        <v>2</v>
      </c>
      <c r="E267" s="31" t="n">
        <v>588</v>
      </c>
      <c r="F267" s="31" t="n">
        <v>202.3</v>
      </c>
      <c r="G267" s="31" t="n">
        <v>62</v>
      </c>
      <c r="H267" s="31" t="n">
        <v>165.1</v>
      </c>
      <c r="I267" s="27" t="s">
        <v>323</v>
      </c>
      <c r="J267" s="27"/>
    </row>
    <row r="268" customFormat="false" ht="15" hidden="false" customHeight="false" outlineLevel="0" collapsed="false">
      <c r="A268" s="31" t="n">
        <v>2026</v>
      </c>
      <c r="B268" s="27" t="s">
        <v>218</v>
      </c>
      <c r="C268" s="31" t="n">
        <v>64</v>
      </c>
      <c r="D268" s="31" t="n">
        <v>1</v>
      </c>
      <c r="E268" s="31" t="n">
        <v>350</v>
      </c>
      <c r="F268" s="31" t="n">
        <v>243.6</v>
      </c>
      <c r="G268" s="31" t="n">
        <v>63</v>
      </c>
      <c r="H268" s="31" t="n">
        <v>158.4</v>
      </c>
      <c r="I268" s="27" t="s">
        <v>323</v>
      </c>
      <c r="J268" s="27"/>
    </row>
    <row r="269" customFormat="false" ht="15" hidden="false" customHeight="false" outlineLevel="0" collapsed="false">
      <c r="A269" s="31" t="n">
        <v>2026</v>
      </c>
      <c r="B269" s="27" t="s">
        <v>219</v>
      </c>
      <c r="C269" s="31" t="n">
        <v>60</v>
      </c>
      <c r="D269" s="31" t="n">
        <v>1</v>
      </c>
      <c r="E269" s="31" t="n">
        <v>470</v>
      </c>
      <c r="F269" s="31" t="n">
        <v>194.6</v>
      </c>
      <c r="G269" s="31" t="n">
        <v>64</v>
      </c>
      <c r="H269" s="31" t="n">
        <v>153.7</v>
      </c>
      <c r="I269" s="27" t="s">
        <v>323</v>
      </c>
      <c r="J269" s="27"/>
    </row>
    <row r="270" customFormat="false" ht="15" hidden="false" customHeight="false" outlineLevel="0" collapsed="false">
      <c r="A270" s="31" t="n">
        <v>2026</v>
      </c>
      <c r="B270" s="27" t="s">
        <v>220</v>
      </c>
      <c r="C270" s="31" t="n">
        <v>75</v>
      </c>
      <c r="D270" s="31" t="n">
        <v>1</v>
      </c>
      <c r="E270" s="31" t="n">
        <v>588</v>
      </c>
      <c r="F270" s="31" t="n">
        <v>188</v>
      </c>
      <c r="G270" s="31" t="n">
        <v>65</v>
      </c>
      <c r="H270" s="31" t="n">
        <v>153.1</v>
      </c>
      <c r="I270" s="27" t="s">
        <v>323</v>
      </c>
      <c r="J270" s="27"/>
    </row>
    <row r="271" customFormat="false" ht="15" hidden="false" customHeight="false" outlineLevel="0" collapsed="false">
      <c r="A271" s="31" t="n">
        <v>2026</v>
      </c>
      <c r="B271" s="27" t="s">
        <v>221</v>
      </c>
      <c r="C271" s="31" t="n">
        <v>95</v>
      </c>
      <c r="D271" s="31" t="n">
        <v>1</v>
      </c>
      <c r="E271" s="31" t="n">
        <v>378</v>
      </c>
      <c r="F271" s="31" t="n">
        <v>218.8</v>
      </c>
      <c r="G271" s="31" t="n">
        <v>66</v>
      </c>
      <c r="H271" s="31" t="n">
        <v>152.8</v>
      </c>
      <c r="I271" s="27" t="s">
        <v>323</v>
      </c>
      <c r="J271" s="27"/>
    </row>
    <row r="272" customFormat="false" ht="15" hidden="false" customHeight="false" outlineLevel="0" collapsed="false">
      <c r="A272" s="31" t="n">
        <v>2026</v>
      </c>
      <c r="B272" s="27" t="s">
        <v>222</v>
      </c>
      <c r="C272" s="31" t="n">
        <v>85</v>
      </c>
      <c r="D272" s="31" t="n">
        <v>4</v>
      </c>
      <c r="E272" s="31" t="n">
        <v>350</v>
      </c>
      <c r="F272" s="31" t="n">
        <v>210</v>
      </c>
      <c r="G272" s="31" t="n">
        <v>67</v>
      </c>
      <c r="H272" s="31" t="n">
        <v>146</v>
      </c>
      <c r="I272" s="27" t="s">
        <v>323</v>
      </c>
      <c r="J272" s="27"/>
    </row>
    <row r="273" customFormat="false" ht="15" hidden="false" customHeight="false" outlineLevel="0" collapsed="false">
      <c r="A273" s="31" t="n">
        <v>2026</v>
      </c>
      <c r="B273" s="27" t="s">
        <v>223</v>
      </c>
      <c r="C273" s="31" t="n">
        <v>71</v>
      </c>
      <c r="D273" s="31" t="n">
        <v>1</v>
      </c>
      <c r="E273" s="31" t="n">
        <v>550</v>
      </c>
      <c r="F273" s="31" t="n">
        <v>188.8</v>
      </c>
      <c r="G273" s="31" t="n">
        <v>68</v>
      </c>
      <c r="H273" s="31" t="n">
        <v>142.5</v>
      </c>
      <c r="I273" s="27" t="s">
        <v>323</v>
      </c>
      <c r="J273" s="27"/>
    </row>
    <row r="274" customFormat="false" ht="15" hidden="false" customHeight="false" outlineLevel="0" collapsed="false">
      <c r="A274" s="31" t="n">
        <v>2026</v>
      </c>
      <c r="B274" s="27" t="s">
        <v>224</v>
      </c>
      <c r="C274" s="31" t="n">
        <v>48</v>
      </c>
      <c r="D274" s="31" t="n">
        <v>1</v>
      </c>
      <c r="E274" s="31" t="n">
        <v>400</v>
      </c>
      <c r="F274" s="31" t="n">
        <v>243.6</v>
      </c>
      <c r="G274" s="31" t="n">
        <v>69</v>
      </c>
      <c r="H274" s="31" t="n">
        <v>138.2</v>
      </c>
      <c r="I274" s="27" t="s">
        <v>323</v>
      </c>
      <c r="J274" s="27"/>
    </row>
    <row r="275" customFormat="false" ht="15" hidden="false" customHeight="false" outlineLevel="0" collapsed="false">
      <c r="A275" s="31" t="n">
        <v>2026</v>
      </c>
      <c r="B275" s="27" t="s">
        <v>225</v>
      </c>
      <c r="C275" s="31" t="n">
        <v>94</v>
      </c>
      <c r="D275" s="31" t="n">
        <v>1</v>
      </c>
      <c r="E275" s="31" t="n">
        <v>360</v>
      </c>
      <c r="F275" s="31" t="n">
        <v>195</v>
      </c>
      <c r="G275" s="31" t="n">
        <v>70</v>
      </c>
      <c r="H275" s="31" t="n">
        <v>134.8</v>
      </c>
      <c r="I275" s="27" t="s">
        <v>323</v>
      </c>
      <c r="J275" s="27"/>
    </row>
    <row r="276" customFormat="false" ht="15" hidden="false" customHeight="false" outlineLevel="0" collapsed="false">
      <c r="A276" s="31" t="n">
        <v>2026</v>
      </c>
      <c r="B276" s="27" t="s">
        <v>226</v>
      </c>
      <c r="C276" s="31" t="n">
        <v>37</v>
      </c>
      <c r="D276" s="31" t="n">
        <v>1</v>
      </c>
      <c r="E276" s="31" t="n">
        <v>300</v>
      </c>
      <c r="F276" s="31" t="n">
        <v>191.6</v>
      </c>
      <c r="G276" s="31" t="n">
        <v>71</v>
      </c>
      <c r="H276" s="31" t="n">
        <v>132.2</v>
      </c>
      <c r="I276" s="27" t="s">
        <v>323</v>
      </c>
      <c r="J276" s="27"/>
    </row>
    <row r="277" customFormat="false" ht="15" hidden="false" customHeight="false" outlineLevel="0" collapsed="false">
      <c r="A277" s="31" t="n">
        <v>2026</v>
      </c>
      <c r="B277" s="27" t="s">
        <v>227</v>
      </c>
      <c r="C277" s="31" t="n">
        <v>88</v>
      </c>
      <c r="D277" s="31" t="n">
        <v>1</v>
      </c>
      <c r="E277" s="31" t="n">
        <v>150</v>
      </c>
      <c r="F277" s="31" t="n">
        <v>195.3</v>
      </c>
      <c r="G277" s="31" t="n">
        <v>72</v>
      </c>
      <c r="H277" s="31" t="n">
        <v>130.6</v>
      </c>
      <c r="I277" s="27" t="s">
        <v>323</v>
      </c>
      <c r="J277" s="27"/>
    </row>
    <row r="278" customFormat="false" ht="15" hidden="false" customHeight="false" outlineLevel="0" collapsed="false">
      <c r="A278" s="31" t="n">
        <v>2026</v>
      </c>
      <c r="B278" s="27" t="s">
        <v>228</v>
      </c>
      <c r="C278" s="31" t="n">
        <v>47</v>
      </c>
      <c r="D278" s="31" t="n">
        <v>1</v>
      </c>
      <c r="E278" s="31" t="n">
        <v>470</v>
      </c>
      <c r="F278" s="31" t="n">
        <v>210.7</v>
      </c>
      <c r="G278" s="31" t="n">
        <v>73</v>
      </c>
      <c r="H278" s="31" t="n">
        <v>128.4</v>
      </c>
      <c r="I278" s="27" t="s">
        <v>323</v>
      </c>
      <c r="J278" s="27"/>
    </row>
    <row r="279" customFormat="false" ht="15" hidden="false" customHeight="false" outlineLevel="0" collapsed="false">
      <c r="A279" s="31" t="n">
        <v>2026</v>
      </c>
      <c r="B279" s="27" t="s">
        <v>229</v>
      </c>
      <c r="C279" s="31" t="n">
        <v>77</v>
      </c>
      <c r="D279" s="31" t="n">
        <v>1</v>
      </c>
      <c r="E279" s="31" t="n">
        <v>400</v>
      </c>
      <c r="F279" s="31" t="n">
        <v>218.5</v>
      </c>
      <c r="G279" s="31" t="n">
        <v>74</v>
      </c>
      <c r="H279" s="31" t="n">
        <v>123.9</v>
      </c>
      <c r="I279" s="27" t="s">
        <v>323</v>
      </c>
      <c r="J279" s="27"/>
    </row>
    <row r="280" customFormat="false" ht="15" hidden="false" customHeight="false" outlineLevel="0" collapsed="false">
      <c r="A280" s="31" t="n">
        <v>2026</v>
      </c>
      <c r="B280" s="27" t="s">
        <v>230</v>
      </c>
      <c r="C280" s="31" t="n">
        <v>16</v>
      </c>
      <c r="D280" s="31" t="n">
        <v>1</v>
      </c>
      <c r="E280" s="31" t="n">
        <v>600</v>
      </c>
      <c r="F280" s="31" t="n">
        <v>199.1</v>
      </c>
      <c r="G280" s="31" t="n">
        <v>75</v>
      </c>
      <c r="H280" s="31" t="n">
        <v>123.3</v>
      </c>
      <c r="I280" s="27" t="s">
        <v>323</v>
      </c>
      <c r="J280" s="27"/>
    </row>
    <row r="281" customFormat="false" ht="15" hidden="false" customHeight="false" outlineLevel="0" collapsed="false">
      <c r="A281" s="31" t="n">
        <v>2026</v>
      </c>
      <c r="B281" s="27" t="s">
        <v>231</v>
      </c>
      <c r="C281" s="31" t="n">
        <v>58</v>
      </c>
      <c r="D281" s="31" t="n">
        <v>1</v>
      </c>
      <c r="E281" s="31" t="n">
        <v>400</v>
      </c>
      <c r="F281" s="31" t="n">
        <v>217.7</v>
      </c>
      <c r="G281" s="31" t="n">
        <v>76</v>
      </c>
      <c r="H281" s="31" t="n">
        <v>122.7</v>
      </c>
      <c r="I281" s="27" t="s">
        <v>323</v>
      </c>
      <c r="J281" s="27"/>
    </row>
    <row r="282" customFormat="false" ht="15" hidden="false" customHeight="false" outlineLevel="0" collapsed="false">
      <c r="A282" s="31" t="n">
        <v>2026</v>
      </c>
      <c r="B282" s="27" t="s">
        <v>232</v>
      </c>
      <c r="C282" s="31" t="n">
        <v>80</v>
      </c>
      <c r="D282" s="31" t="n">
        <v>1</v>
      </c>
      <c r="E282" s="31" t="n">
        <v>225</v>
      </c>
      <c r="F282" s="31" t="n">
        <v>207</v>
      </c>
      <c r="G282" s="31" t="n">
        <v>77</v>
      </c>
      <c r="H282" s="31" t="n">
        <v>118.2</v>
      </c>
      <c r="I282" s="27" t="s">
        <v>323</v>
      </c>
      <c r="J282" s="27"/>
    </row>
    <row r="283" customFormat="false" ht="15" hidden="false" customHeight="false" outlineLevel="0" collapsed="false">
      <c r="A283" s="31" t="n">
        <v>2026</v>
      </c>
      <c r="B283" s="27" t="s">
        <v>233</v>
      </c>
      <c r="C283" s="31" t="n">
        <v>12</v>
      </c>
      <c r="D283" s="31" t="n">
        <v>1</v>
      </c>
      <c r="E283" s="31" t="n">
        <v>450</v>
      </c>
      <c r="F283" s="31" t="n">
        <v>238.3</v>
      </c>
      <c r="G283" s="31" t="n">
        <v>78</v>
      </c>
      <c r="H283" s="31" t="n">
        <v>116.6</v>
      </c>
      <c r="I283" s="27" t="s">
        <v>323</v>
      </c>
      <c r="J283" s="27"/>
    </row>
    <row r="284" customFormat="false" ht="15" hidden="false" customHeight="false" outlineLevel="0" collapsed="false">
      <c r="A284" s="31" t="n">
        <v>2026</v>
      </c>
      <c r="B284" s="27" t="s">
        <v>234</v>
      </c>
      <c r="C284" s="31" t="n">
        <v>117</v>
      </c>
      <c r="D284" s="31" t="n">
        <v>1</v>
      </c>
      <c r="E284" s="31" t="n">
        <v>470</v>
      </c>
      <c r="F284" s="31" t="n">
        <v>173.1</v>
      </c>
      <c r="G284" s="31" t="n">
        <v>79</v>
      </c>
      <c r="H284" s="31" t="n">
        <v>106.4</v>
      </c>
      <c r="I284" s="27" t="s">
        <v>323</v>
      </c>
      <c r="J284" s="27"/>
    </row>
    <row r="285" customFormat="false" ht="15" hidden="false" customHeight="false" outlineLevel="0" collapsed="false">
      <c r="A285" s="31" t="n">
        <v>2026</v>
      </c>
      <c r="B285" s="27" t="s">
        <v>235</v>
      </c>
      <c r="C285" s="31" t="n">
        <v>52</v>
      </c>
      <c r="D285" s="31" t="n">
        <v>1</v>
      </c>
      <c r="E285" s="31" t="n">
        <v>315</v>
      </c>
      <c r="F285" s="31" t="n">
        <v>203.3</v>
      </c>
      <c r="G285" s="31" t="n">
        <v>80</v>
      </c>
      <c r="H285" s="31" t="n">
        <v>105.5</v>
      </c>
      <c r="I285" s="27" t="s">
        <v>323</v>
      </c>
      <c r="J285" s="27"/>
    </row>
    <row r="286" customFormat="false" ht="15" hidden="false" customHeight="false" outlineLevel="0" collapsed="false">
      <c r="A286" s="31" t="n">
        <v>2026</v>
      </c>
      <c r="B286" s="27" t="s">
        <v>236</v>
      </c>
      <c r="C286" s="31" t="n">
        <v>40</v>
      </c>
      <c r="D286" s="31" t="n">
        <v>1</v>
      </c>
      <c r="E286" s="31" t="n">
        <v>400</v>
      </c>
      <c r="F286" s="31" t="n">
        <v>184.6</v>
      </c>
      <c r="G286" s="31" t="n">
        <v>81</v>
      </c>
      <c r="H286" s="31" t="n">
        <v>95.8</v>
      </c>
      <c r="I286" s="27" t="s">
        <v>323</v>
      </c>
      <c r="J286" s="27"/>
    </row>
    <row r="287" customFormat="false" ht="15" hidden="false" customHeight="false" outlineLevel="0" collapsed="false">
      <c r="A287" s="31" t="n">
        <v>2026</v>
      </c>
      <c r="B287" s="27" t="s">
        <v>237</v>
      </c>
      <c r="C287" s="31" t="n">
        <v>83</v>
      </c>
      <c r="D287" s="31" t="n">
        <v>1</v>
      </c>
      <c r="E287" s="31" t="n">
        <v>420</v>
      </c>
      <c r="F287" s="31" t="n">
        <v>180.5</v>
      </c>
      <c r="G287" s="31" t="n">
        <v>82</v>
      </c>
      <c r="H287" s="31" t="n">
        <v>93.4</v>
      </c>
      <c r="I287" s="27" t="s">
        <v>335</v>
      </c>
      <c r="J287" s="27"/>
    </row>
    <row r="288" customFormat="false" ht="15" hidden="false" customHeight="false" outlineLevel="0" collapsed="false">
      <c r="A288" s="31" t="n">
        <v>2026</v>
      </c>
      <c r="B288" s="27" t="s">
        <v>238</v>
      </c>
      <c r="C288" s="31" t="n">
        <v>63</v>
      </c>
      <c r="D288" s="31" t="n">
        <v>1</v>
      </c>
      <c r="E288" s="31" t="n">
        <v>540</v>
      </c>
      <c r="F288" s="31" t="n">
        <v>210.8</v>
      </c>
      <c r="G288" s="31" t="n">
        <v>83</v>
      </c>
      <c r="H288" s="31" t="n">
        <v>87.9</v>
      </c>
      <c r="I288" s="27" t="s">
        <v>323</v>
      </c>
      <c r="J288" s="27"/>
    </row>
    <row r="289" customFormat="false" ht="15" hidden="false" customHeight="false" outlineLevel="0" collapsed="false">
      <c r="A289" s="31" t="n">
        <v>2026</v>
      </c>
      <c r="B289" s="27" t="s">
        <v>239</v>
      </c>
      <c r="C289" s="31" t="n">
        <v>82</v>
      </c>
      <c r="D289" s="31" t="n">
        <v>1</v>
      </c>
      <c r="E289" s="31" t="n">
        <v>450</v>
      </c>
      <c r="F289" s="31" t="n">
        <v>204.7</v>
      </c>
      <c r="G289" s="31" t="n">
        <v>84</v>
      </c>
      <c r="H289" s="31" t="n">
        <v>70.2</v>
      </c>
      <c r="I289" s="27" t="s">
        <v>323</v>
      </c>
      <c r="J289" s="27"/>
    </row>
    <row r="290" customFormat="false" ht="15" hidden="false" customHeight="false" outlineLevel="0" collapsed="false">
      <c r="A290" s="31" t="n">
        <v>2026</v>
      </c>
      <c r="B290" s="27" t="s">
        <v>240</v>
      </c>
      <c r="C290" s="31" t="n">
        <v>81</v>
      </c>
      <c r="D290" s="31"/>
      <c r="E290" s="31"/>
      <c r="F290" s="31" t="n">
        <v>204.5</v>
      </c>
      <c r="G290" s="31" t="n">
        <v>85</v>
      </c>
      <c r="H290" s="31" t="n">
        <v>60.9</v>
      </c>
      <c r="I290" s="27" t="s">
        <v>323</v>
      </c>
      <c r="J290" s="27"/>
    </row>
    <row r="291" customFormat="false" ht="15" hidden="false" customHeight="false" outlineLevel="0" collapsed="false">
      <c r="A291" s="31" t="n">
        <v>2026</v>
      </c>
      <c r="B291" s="27" t="s">
        <v>241</v>
      </c>
      <c r="C291" s="31" t="n">
        <v>76</v>
      </c>
      <c r="D291" s="31" t="n">
        <v>1</v>
      </c>
      <c r="E291" s="31" t="n">
        <v>500</v>
      </c>
      <c r="F291" s="31" t="n">
        <v>158.8</v>
      </c>
      <c r="G291" s="31" t="n">
        <v>86</v>
      </c>
      <c r="H291" s="31" t="n">
        <v>21.1</v>
      </c>
      <c r="I291" s="27" t="s">
        <v>335</v>
      </c>
      <c r="J291" s="27"/>
    </row>
    <row r="292" customFormat="false" ht="15" hidden="false" customHeight="false" outlineLevel="0" collapsed="false">
      <c r="A292" s="31" t="n">
        <v>2026</v>
      </c>
      <c r="B292" s="27" t="s">
        <v>242</v>
      </c>
      <c r="C292" s="31" t="n">
        <v>69</v>
      </c>
      <c r="D292" s="31" t="n">
        <v>1</v>
      </c>
      <c r="E292" s="31" t="n">
        <v>480</v>
      </c>
      <c r="F292" s="31"/>
      <c r="G292" s="31" t="n">
        <v>87</v>
      </c>
      <c r="H292" s="31" t="n">
        <v>14.9</v>
      </c>
      <c r="I292" s="27" t="s">
        <v>336</v>
      </c>
      <c r="J292" s="27"/>
    </row>
    <row r="293" customFormat="false" ht="15" hidden="false" customHeight="false" outlineLevel="0" collapsed="false">
      <c r="A293" s="31" t="n">
        <v>2026</v>
      </c>
      <c r="B293" s="27" t="s">
        <v>243</v>
      </c>
      <c r="C293" s="31" t="n">
        <v>59</v>
      </c>
      <c r="D293" s="31" t="n">
        <v>1</v>
      </c>
      <c r="E293" s="31" t="n">
        <v>320</v>
      </c>
      <c r="F293" s="31" t="n">
        <v>87.5</v>
      </c>
      <c r="G293" s="31" t="n">
        <v>88</v>
      </c>
      <c r="H293" s="31" t="n">
        <v>10</v>
      </c>
      <c r="I293" s="27" t="s">
        <v>335</v>
      </c>
      <c r="J293" s="27"/>
    </row>
  </sheetData>
  <autoFilter ref="A4:J293"/>
  <mergeCells count="2">
    <mergeCell ref="A1:J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2E7D32"/>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30.02"/>
    <col collapsed="false" customWidth="true" hidden="false" outlineLevel="0" max="2" min="2" style="0" width="16"/>
    <col collapsed="false" customWidth="true" hidden="false" outlineLevel="0" max="6" min="3" style="0" width="14.01"/>
    <col collapsed="false" customWidth="true" hidden="false" outlineLevel="0" max="7" min="7" style="0" width="18"/>
  </cols>
  <sheetData>
    <row r="1" customFormat="false" ht="33.75" hidden="false" customHeight="true" outlineLevel="0" collapsed="false">
      <c r="A1" s="1" t="s">
        <v>337</v>
      </c>
      <c r="B1" s="1"/>
      <c r="C1" s="1"/>
      <c r="D1" s="1"/>
      <c r="E1" s="1"/>
      <c r="F1" s="1"/>
      <c r="G1" s="1"/>
    </row>
    <row r="2" customFormat="false" ht="24" hidden="false" customHeight="true" outlineLevel="0" collapsed="false">
      <c r="A2" s="2" t="s">
        <v>338</v>
      </c>
      <c r="B2" s="2"/>
      <c r="C2" s="2"/>
      <c r="D2" s="2"/>
      <c r="E2" s="2"/>
      <c r="F2" s="2"/>
      <c r="G2" s="2"/>
    </row>
    <row r="4" customFormat="false" ht="21.75" hidden="false" customHeight="true" outlineLevel="0" collapsed="false">
      <c r="A4" s="7" t="s">
        <v>339</v>
      </c>
      <c r="B4" s="7"/>
      <c r="C4" s="7"/>
      <c r="D4" s="7"/>
      <c r="E4" s="7"/>
      <c r="F4" s="7"/>
      <c r="G4" s="7"/>
    </row>
    <row r="5" customFormat="false" ht="21.75" hidden="false" customHeight="true" outlineLevel="0" collapsed="false">
      <c r="A5" s="8" t="s">
        <v>145</v>
      </c>
      <c r="B5" s="8" t="s">
        <v>340</v>
      </c>
      <c r="C5" s="8" t="s">
        <v>341</v>
      </c>
      <c r="D5" s="8" t="s">
        <v>50</v>
      </c>
      <c r="E5" s="8" t="s">
        <v>18</v>
      </c>
    </row>
    <row r="6" customFormat="false" ht="15" hidden="false" customHeight="false" outlineLevel="0" collapsed="false">
      <c r="A6" s="36" t="s">
        <v>342</v>
      </c>
      <c r="B6" s="16" t="s">
        <v>343</v>
      </c>
      <c r="C6" s="16" t="s">
        <v>343</v>
      </c>
      <c r="D6" s="16" t="s">
        <v>344</v>
      </c>
      <c r="E6" s="16" t="s">
        <v>343</v>
      </c>
    </row>
    <row r="7" customFormat="false" ht="15" hidden="false" customHeight="false" outlineLevel="0" collapsed="false">
      <c r="A7" s="27" t="s">
        <v>345</v>
      </c>
      <c r="B7" s="31" t="s">
        <v>344</v>
      </c>
      <c r="C7" s="31" t="s">
        <v>344</v>
      </c>
      <c r="D7" s="31" t="s">
        <v>343</v>
      </c>
      <c r="E7" s="31" t="s">
        <v>346</v>
      </c>
    </row>
    <row r="8" customFormat="false" ht="15" hidden="false" customHeight="false" outlineLevel="0" collapsed="false">
      <c r="A8" s="27" t="s">
        <v>347</v>
      </c>
      <c r="B8" s="31" t="s">
        <v>346</v>
      </c>
      <c r="C8" s="31" t="s">
        <v>346</v>
      </c>
      <c r="D8" s="31" t="s">
        <v>346</v>
      </c>
      <c r="E8" s="31" t="s">
        <v>344</v>
      </c>
    </row>
    <row r="10" customFormat="false" ht="21.75" hidden="false" customHeight="true" outlineLevel="0" collapsed="false">
      <c r="A10" s="7" t="s">
        <v>348</v>
      </c>
      <c r="B10" s="7"/>
      <c r="C10" s="7"/>
      <c r="D10" s="7"/>
      <c r="E10" s="7"/>
      <c r="F10" s="7"/>
      <c r="G10" s="7"/>
    </row>
    <row r="11" customFormat="false" ht="21.75" hidden="false" customHeight="true" outlineLevel="0" collapsed="false">
      <c r="A11" s="8" t="s">
        <v>7</v>
      </c>
      <c r="B11" s="8" t="s">
        <v>349</v>
      </c>
      <c r="C11" s="8" t="s">
        <v>341</v>
      </c>
      <c r="D11" s="8" t="s">
        <v>50</v>
      </c>
      <c r="E11" s="8" t="s">
        <v>17</v>
      </c>
      <c r="F11" s="8" t="s">
        <v>18</v>
      </c>
      <c r="G11" s="8" t="s">
        <v>350</v>
      </c>
    </row>
    <row r="12" customFormat="false" ht="15" hidden="false" customHeight="false" outlineLevel="0" collapsed="false">
      <c r="A12" s="9" t="n">
        <v>2022</v>
      </c>
      <c r="B12" s="27" t="s">
        <v>343</v>
      </c>
      <c r="C12" s="27"/>
      <c r="D12" s="27"/>
      <c r="E12" s="27"/>
      <c r="F12" s="27"/>
      <c r="G12" s="27" t="s">
        <v>343</v>
      </c>
    </row>
    <row r="13" customFormat="false" ht="15" hidden="false" customHeight="false" outlineLevel="0" collapsed="false">
      <c r="A13" s="9" t="n">
        <v>2023</v>
      </c>
      <c r="B13" s="27" t="s">
        <v>344</v>
      </c>
      <c r="C13" s="27" t="s">
        <v>351</v>
      </c>
      <c r="D13" s="27" t="s">
        <v>343</v>
      </c>
      <c r="E13" s="27" t="s">
        <v>343</v>
      </c>
      <c r="F13" s="27" t="s">
        <v>352</v>
      </c>
      <c r="G13" s="27" t="s">
        <v>346</v>
      </c>
    </row>
    <row r="14" customFormat="false" ht="15" hidden="false" customHeight="false" outlineLevel="0" collapsed="false">
      <c r="A14" s="9" t="n">
        <v>2024</v>
      </c>
      <c r="B14" s="27" t="s">
        <v>344</v>
      </c>
      <c r="C14" s="27" t="s">
        <v>343</v>
      </c>
      <c r="D14" s="27" t="s">
        <v>343</v>
      </c>
      <c r="E14" s="27" t="s">
        <v>344</v>
      </c>
      <c r="F14" s="27" t="s">
        <v>352</v>
      </c>
      <c r="G14" s="27" t="s">
        <v>343</v>
      </c>
    </row>
    <row r="15" customFormat="false" ht="15" hidden="false" customHeight="false" outlineLevel="0" collapsed="false">
      <c r="A15" s="9" t="n">
        <v>2025</v>
      </c>
      <c r="B15" s="27" t="s">
        <v>353</v>
      </c>
      <c r="C15" s="27" t="s">
        <v>343</v>
      </c>
      <c r="D15" s="27" t="s">
        <v>346</v>
      </c>
      <c r="E15" s="27" t="s">
        <v>344</v>
      </c>
      <c r="F15" s="27" t="s">
        <v>354</v>
      </c>
      <c r="G15" s="27" t="s">
        <v>343</v>
      </c>
    </row>
    <row r="16" customFormat="false" ht="15" hidden="false" customHeight="false" outlineLevel="0" collapsed="false">
      <c r="A16" s="9" t="n">
        <v>2026</v>
      </c>
      <c r="B16" s="27" t="s">
        <v>343</v>
      </c>
      <c r="C16" s="27" t="s">
        <v>343</v>
      </c>
      <c r="D16" s="27" t="s">
        <v>344</v>
      </c>
      <c r="E16" s="27" t="s">
        <v>344</v>
      </c>
      <c r="F16" s="27" t="s">
        <v>343</v>
      </c>
      <c r="G16" s="27" t="s">
        <v>355</v>
      </c>
    </row>
    <row r="18" customFormat="false" ht="78" hidden="false" customHeight="true" outlineLevel="0" collapsed="false">
      <c r="A18" s="24" t="s">
        <v>356</v>
      </c>
      <c r="B18" s="24"/>
      <c r="C18" s="24"/>
      <c r="D18" s="24"/>
      <c r="E18" s="24"/>
      <c r="F18" s="24"/>
      <c r="G18" s="24"/>
    </row>
  </sheetData>
  <mergeCells count="5">
    <mergeCell ref="A1:G1"/>
    <mergeCell ref="A2:G2"/>
    <mergeCell ref="A4:G4"/>
    <mergeCell ref="A10:G10"/>
    <mergeCell ref="A18:G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6B7280"/>
    <pageSetUpPr fitToPage="true"/>
  </sheetPr>
  <dimension ref="A1:T4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2" min="1" style="0" width="7"/>
    <col collapsed="false" customWidth="true" hidden="false" outlineLevel="0" max="3" min="3" style="0" width="36"/>
    <col collapsed="false" customWidth="true" hidden="false" outlineLevel="0" max="4" min="4" style="0" width="16"/>
    <col collapsed="false" customWidth="true" hidden="false" outlineLevel="0" max="5" min="5" style="0" width="9"/>
    <col collapsed="false" customWidth="true" hidden="false" outlineLevel="0" max="6" min="6" style="0" width="8"/>
    <col collapsed="false" customWidth="true" hidden="false" outlineLevel="0" max="7" min="7" style="0" width="11.99"/>
    <col collapsed="false" customWidth="true" hidden="false" outlineLevel="0" max="10" min="8" style="0" width="8"/>
    <col collapsed="false" customWidth="true" hidden="false" outlineLevel="0" max="13" min="11" style="0" width="10"/>
    <col collapsed="false" customWidth="true" hidden="false" outlineLevel="0" max="14" min="14" style="0" width="8"/>
    <col collapsed="false" customWidth="true" hidden="false" outlineLevel="0" max="15" min="15" style="0" width="7"/>
    <col collapsed="false" customWidth="true" hidden="false" outlineLevel="0" max="16" min="16" style="0" width="8"/>
    <col collapsed="false" customWidth="true" hidden="false" outlineLevel="0" max="17" min="17" style="0" width="10.99"/>
    <col collapsed="false" customWidth="true" hidden="false" outlineLevel="0" max="18" min="18" style="0" width="10"/>
    <col collapsed="false" customWidth="true" hidden="false" outlineLevel="0" max="19" min="19" style="0" width="6.01"/>
    <col collapsed="false" customWidth="true" hidden="false" outlineLevel="0" max="20" min="20" style="0" width="26"/>
  </cols>
  <sheetData>
    <row r="1" customFormat="false" ht="33.75" hidden="false" customHeight="true" outlineLevel="0" collapsed="false">
      <c r="A1" s="1" t="s">
        <v>357</v>
      </c>
      <c r="B1" s="1"/>
      <c r="C1" s="1"/>
      <c r="D1" s="1"/>
      <c r="E1" s="1"/>
      <c r="F1" s="1"/>
      <c r="G1" s="1"/>
      <c r="H1" s="1"/>
      <c r="I1" s="1"/>
      <c r="J1" s="1"/>
      <c r="K1" s="1"/>
      <c r="L1" s="1"/>
      <c r="M1" s="1"/>
      <c r="N1" s="1"/>
      <c r="O1" s="1"/>
      <c r="P1" s="1"/>
      <c r="Q1" s="1"/>
      <c r="R1" s="1"/>
      <c r="S1" s="1"/>
      <c r="T1" s="1"/>
    </row>
    <row r="2" customFormat="false" ht="24" hidden="false" customHeight="true" outlineLevel="0" collapsed="false">
      <c r="A2" s="2" t="s">
        <v>358</v>
      </c>
      <c r="B2" s="2"/>
      <c r="C2" s="2"/>
      <c r="D2" s="2"/>
      <c r="E2" s="2"/>
      <c r="F2" s="2"/>
      <c r="G2" s="2"/>
      <c r="H2" s="2"/>
      <c r="I2" s="2"/>
      <c r="J2" s="2"/>
      <c r="K2" s="2"/>
      <c r="L2" s="2"/>
      <c r="M2" s="2"/>
      <c r="N2" s="2"/>
      <c r="O2" s="2"/>
      <c r="P2" s="2"/>
      <c r="Q2" s="2"/>
      <c r="R2" s="2"/>
      <c r="S2" s="2"/>
      <c r="T2" s="2"/>
    </row>
    <row r="3" customFormat="false" ht="30" hidden="false" customHeight="true" outlineLevel="0" collapsed="false">
      <c r="A3" s="8" t="s">
        <v>7</v>
      </c>
      <c r="B3" s="8" t="s">
        <v>8</v>
      </c>
      <c r="C3" s="8" t="s">
        <v>145</v>
      </c>
      <c r="D3" s="8" t="s">
        <v>359</v>
      </c>
      <c r="E3" s="8" t="s">
        <v>146</v>
      </c>
      <c r="F3" s="8" t="s">
        <v>16</v>
      </c>
      <c r="G3" s="8" t="s">
        <v>174</v>
      </c>
      <c r="H3" s="8" t="s">
        <v>17</v>
      </c>
      <c r="I3" s="8" t="s">
        <v>48</v>
      </c>
      <c r="J3" s="8" t="s">
        <v>49</v>
      </c>
      <c r="K3" s="8" t="s">
        <v>175</v>
      </c>
      <c r="L3" s="8" t="s">
        <v>176</v>
      </c>
      <c r="M3" s="8" t="s">
        <v>177</v>
      </c>
      <c r="N3" s="8" t="s">
        <v>178</v>
      </c>
      <c r="O3" s="8" t="s">
        <v>173</v>
      </c>
      <c r="P3" s="8" t="s">
        <v>360</v>
      </c>
      <c r="Q3" s="8" t="s">
        <v>179</v>
      </c>
      <c r="R3" s="8" t="s">
        <v>180</v>
      </c>
      <c r="S3" s="8" t="s">
        <v>361</v>
      </c>
      <c r="T3" s="8" t="s">
        <v>362</v>
      </c>
    </row>
    <row r="4" customFormat="false" ht="15" hidden="false" customHeight="false" outlineLevel="0" collapsed="false">
      <c r="A4" s="31" t="n">
        <v>2022</v>
      </c>
      <c r="B4" s="31" t="n">
        <v>1</v>
      </c>
      <c r="C4" s="27" t="s">
        <v>33</v>
      </c>
      <c r="D4" s="27" t="s">
        <v>363</v>
      </c>
      <c r="E4" s="31" t="n">
        <v>847</v>
      </c>
      <c r="F4" s="31" t="n">
        <v>65.28</v>
      </c>
      <c r="G4" s="31" t="n">
        <v>58.2</v>
      </c>
      <c r="H4" s="31" t="n">
        <v>100</v>
      </c>
      <c r="I4" s="31" t="n">
        <v>98.18</v>
      </c>
      <c r="J4" s="31" t="n">
        <v>51.57</v>
      </c>
      <c r="K4" s="31" t="n">
        <v>109.17</v>
      </c>
      <c r="L4" s="31" t="n">
        <v>275</v>
      </c>
      <c r="M4" s="31" t="n">
        <v>89.6</v>
      </c>
      <c r="N4" s="31"/>
      <c r="O4" s="31"/>
      <c r="P4" s="31" t="n">
        <v>1</v>
      </c>
      <c r="Q4" s="12" t="n">
        <f aca="false">IF(P4=1,SUM(F4:M4)+N4,"")</f>
        <v>847</v>
      </c>
      <c r="R4" s="38" t="n">
        <f aca="false">IF(AND(P4=1,ISNUMBER(E4)),Q4-E4,"")</f>
        <v>0</v>
      </c>
      <c r="S4" s="31" t="n">
        <v>0</v>
      </c>
      <c r="T4" s="27" t="s">
        <v>364</v>
      </c>
    </row>
    <row r="5" customFormat="false" ht="15" hidden="false" customHeight="false" outlineLevel="0" collapsed="false">
      <c r="A5" s="31" t="n">
        <v>2022</v>
      </c>
      <c r="B5" s="31" t="n">
        <v>2</v>
      </c>
      <c r="C5" s="27" t="s">
        <v>147</v>
      </c>
      <c r="D5" s="27" t="s">
        <v>363</v>
      </c>
      <c r="E5" s="31" t="n">
        <v>837</v>
      </c>
      <c r="F5" s="31" t="n">
        <v>84.45</v>
      </c>
      <c r="G5" s="31" t="n">
        <v>64</v>
      </c>
      <c r="H5" s="31" t="n">
        <v>140</v>
      </c>
      <c r="I5" s="31" t="n">
        <v>88.57</v>
      </c>
      <c r="J5" s="31" t="n">
        <v>75</v>
      </c>
      <c r="K5" s="31" t="n">
        <v>98.58</v>
      </c>
      <c r="L5" s="31" t="n">
        <v>197.4</v>
      </c>
      <c r="M5" s="31" t="n">
        <v>89.1</v>
      </c>
      <c r="N5" s="31"/>
      <c r="O5" s="31"/>
      <c r="P5" s="31" t="n">
        <v>1</v>
      </c>
      <c r="Q5" s="12" t="n">
        <f aca="false">IF(P5=1,SUM(F5:M5)+N5,"")</f>
        <v>837.1</v>
      </c>
      <c r="R5" s="38" t="n">
        <f aca="false">IF(AND(P5=1,ISNUMBER(E5)),Q5-E5,"")</f>
        <v>0.100000000000023</v>
      </c>
      <c r="S5" s="31" t="n">
        <v>0</v>
      </c>
      <c r="T5" s="27" t="s">
        <v>364</v>
      </c>
    </row>
    <row r="6" customFormat="false" ht="15" hidden="false" customHeight="false" outlineLevel="0" collapsed="false">
      <c r="A6" s="31" t="n">
        <v>2022</v>
      </c>
      <c r="B6" s="31" t="n">
        <v>3</v>
      </c>
      <c r="C6" s="27" t="s">
        <v>150</v>
      </c>
      <c r="D6" s="27" t="s">
        <v>363</v>
      </c>
      <c r="E6" s="31" t="n">
        <v>661.3</v>
      </c>
      <c r="F6" s="31" t="n">
        <v>89.1</v>
      </c>
      <c r="G6" s="31" t="n">
        <v>71.2</v>
      </c>
      <c r="H6" s="31" t="n">
        <v>125</v>
      </c>
      <c r="I6" s="31" t="n">
        <v>97.53</v>
      </c>
      <c r="J6" s="31" t="n">
        <v>67.21</v>
      </c>
      <c r="K6" s="31" t="n">
        <v>97.83</v>
      </c>
      <c r="L6" s="31" t="n">
        <v>21</v>
      </c>
      <c r="M6" s="31" t="n">
        <v>92.3</v>
      </c>
      <c r="N6" s="31"/>
      <c r="O6" s="31"/>
      <c r="P6" s="31" t="n">
        <v>1</v>
      </c>
      <c r="Q6" s="12" t="n">
        <f aca="false">IF(P6=1,SUM(F6:M6)+N6,"")</f>
        <v>661.17</v>
      </c>
      <c r="R6" s="38" t="n">
        <f aca="false">IF(AND(P6=1,ISNUMBER(E6)),Q6-E6,"")</f>
        <v>-0.129999999999995</v>
      </c>
      <c r="S6" s="31" t="n">
        <v>0</v>
      </c>
      <c r="T6" s="27" t="s">
        <v>364</v>
      </c>
    </row>
    <row r="7" customFormat="false" ht="15" hidden="false" customHeight="false" outlineLevel="0" collapsed="false">
      <c r="A7" s="31" t="n">
        <v>2022</v>
      </c>
      <c r="B7" s="31" t="n">
        <v>4</v>
      </c>
      <c r="C7" s="27" t="s">
        <v>36</v>
      </c>
      <c r="D7" s="27" t="s">
        <v>363</v>
      </c>
      <c r="E7" s="31" t="n">
        <v>650.4</v>
      </c>
      <c r="F7" s="31" t="n">
        <v>72.7</v>
      </c>
      <c r="G7" s="31" t="n">
        <v>62</v>
      </c>
      <c r="H7" s="31" t="n">
        <v>100</v>
      </c>
      <c r="I7" s="31" t="n">
        <v>100</v>
      </c>
      <c r="J7" s="31" t="n">
        <v>72.89</v>
      </c>
      <c r="K7" s="31" t="n">
        <v>125</v>
      </c>
      <c r="L7" s="31" t="n">
        <v>31</v>
      </c>
      <c r="M7" s="31" t="n">
        <v>86.7</v>
      </c>
      <c r="N7" s="31"/>
      <c r="O7" s="31"/>
      <c r="P7" s="31" t="n">
        <v>1</v>
      </c>
      <c r="Q7" s="12" t="n">
        <f aca="false">IF(P7=1,SUM(F7:M7)+N7,"")</f>
        <v>650.29</v>
      </c>
      <c r="R7" s="38" t="n">
        <f aca="false">IF(AND(P7=1,ISNUMBER(E7)),Q7-E7,"")</f>
        <v>-0.110000000000014</v>
      </c>
      <c r="S7" s="31" t="n">
        <v>0</v>
      </c>
      <c r="T7" s="27" t="s">
        <v>364</v>
      </c>
    </row>
    <row r="8" customFormat="false" ht="15" hidden="false" customHeight="false" outlineLevel="0" collapsed="false">
      <c r="A8" s="16" t="n">
        <v>2022</v>
      </c>
      <c r="B8" s="16" t="n">
        <v>5</v>
      </c>
      <c r="C8" s="36" t="s">
        <v>148</v>
      </c>
      <c r="D8" s="36" t="s">
        <v>363</v>
      </c>
      <c r="E8" s="16" t="n">
        <v>646</v>
      </c>
      <c r="F8" s="16" t="n">
        <v>84.21</v>
      </c>
      <c r="G8" s="16" t="n">
        <v>73.8</v>
      </c>
      <c r="H8" s="16" t="n">
        <v>145</v>
      </c>
      <c r="I8" s="16" t="n">
        <v>91.35</v>
      </c>
      <c r="J8" s="16" t="n">
        <v>48.48</v>
      </c>
      <c r="K8" s="16" t="n">
        <v>92.17</v>
      </c>
      <c r="L8" s="16" t="n">
        <v>16</v>
      </c>
      <c r="M8" s="16" t="n">
        <v>95</v>
      </c>
      <c r="N8" s="16"/>
      <c r="O8" s="16"/>
      <c r="P8" s="16" t="n">
        <v>1</v>
      </c>
      <c r="Q8" s="19" t="n">
        <f aca="false">IF(P8=1,SUM(F8:M8)+N8,"")</f>
        <v>646.01</v>
      </c>
      <c r="R8" s="39" t="n">
        <f aca="false">IF(AND(P8=1,ISNUMBER(E8)),Q8-E8,"")</f>
        <v>0.00999999999999091</v>
      </c>
      <c r="S8" s="45" t="n">
        <v>1</v>
      </c>
      <c r="T8" s="46" t="s">
        <v>364</v>
      </c>
    </row>
    <row r="9" customFormat="false" ht="15" hidden="false" customHeight="false" outlineLevel="0" collapsed="false">
      <c r="A9" s="31" t="n">
        <v>2022</v>
      </c>
      <c r="B9" s="31" t="n">
        <v>6</v>
      </c>
      <c r="C9" s="27" t="s">
        <v>156</v>
      </c>
      <c r="D9" s="27" t="s">
        <v>363</v>
      </c>
      <c r="E9" s="31" t="n">
        <v>423.7</v>
      </c>
      <c r="F9" s="31" t="n">
        <v>79.25</v>
      </c>
      <c r="G9" s="31" t="n">
        <v>63.7</v>
      </c>
      <c r="H9" s="31" t="n">
        <v>150</v>
      </c>
      <c r="I9" s="31"/>
      <c r="J9" s="31" t="n">
        <v>45.41</v>
      </c>
      <c r="K9" s="31" t="n">
        <v>82.33</v>
      </c>
      <c r="L9" s="31" t="n">
        <v>3</v>
      </c>
      <c r="M9" s="31"/>
      <c r="N9" s="31"/>
      <c r="O9" s="31"/>
      <c r="P9" s="31" t="n">
        <v>1</v>
      </c>
      <c r="Q9" s="12" t="n">
        <f aca="false">IF(P9=1,SUM(F9:M9)+N9,"")</f>
        <v>423.69</v>
      </c>
      <c r="R9" s="38" t="n">
        <f aca="false">IF(AND(P9=1,ISNUMBER(E9)),Q9-E9,"")</f>
        <v>-0.00999999999999091</v>
      </c>
      <c r="S9" s="31" t="n">
        <v>0</v>
      </c>
      <c r="T9" s="27" t="s">
        <v>364</v>
      </c>
    </row>
    <row r="10" customFormat="false" ht="15" hidden="false" customHeight="false" outlineLevel="0" collapsed="false">
      <c r="A10" s="31" t="n">
        <v>2022</v>
      </c>
      <c r="B10" s="31" t="n">
        <v>7</v>
      </c>
      <c r="C10" s="27" t="s">
        <v>159</v>
      </c>
      <c r="D10" s="27" t="s">
        <v>363</v>
      </c>
      <c r="E10" s="31" t="n">
        <v>384.4</v>
      </c>
      <c r="F10" s="31" t="n">
        <v>59.36</v>
      </c>
      <c r="G10" s="31" t="n">
        <v>62.7</v>
      </c>
      <c r="H10" s="31" t="n">
        <v>80</v>
      </c>
      <c r="I10" s="31"/>
      <c r="J10" s="31"/>
      <c r="K10" s="31"/>
      <c r="L10" s="31" t="n">
        <v>82.3</v>
      </c>
      <c r="M10" s="31" t="n">
        <v>100</v>
      </c>
      <c r="N10" s="31"/>
      <c r="O10" s="31"/>
      <c r="P10" s="31" t="n">
        <v>1</v>
      </c>
      <c r="Q10" s="12" t="n">
        <f aca="false">IF(P10=1,SUM(F10:M10)+N10,"")</f>
        <v>384.36</v>
      </c>
      <c r="R10" s="38" t="n">
        <f aca="false">IF(AND(P10=1,ISNUMBER(E10)),Q10-E10,"")</f>
        <v>-0.0399999999999636</v>
      </c>
      <c r="S10" s="31" t="n">
        <v>0</v>
      </c>
      <c r="T10" s="27" t="s">
        <v>364</v>
      </c>
    </row>
    <row r="11" customFormat="false" ht="15" hidden="false" customHeight="false" outlineLevel="0" collapsed="false">
      <c r="A11" s="31" t="n">
        <v>2022</v>
      </c>
      <c r="B11" s="31" t="n">
        <v>8</v>
      </c>
      <c r="C11" s="27" t="s">
        <v>149</v>
      </c>
      <c r="D11" s="27" t="s">
        <v>363</v>
      </c>
      <c r="E11" s="31" t="n">
        <v>337.4</v>
      </c>
      <c r="F11" s="31" t="n">
        <v>59.41</v>
      </c>
      <c r="G11" s="31" t="n">
        <v>54.1</v>
      </c>
      <c r="H11" s="31" t="n">
        <v>90</v>
      </c>
      <c r="I11" s="31"/>
      <c r="J11" s="31"/>
      <c r="K11" s="31"/>
      <c r="L11" s="31" t="n">
        <v>35</v>
      </c>
      <c r="M11" s="31" t="n">
        <v>98.6</v>
      </c>
      <c r="N11" s="31"/>
      <c r="O11" s="31"/>
      <c r="P11" s="31" t="n">
        <v>1</v>
      </c>
      <c r="Q11" s="12" t="n">
        <f aca="false">IF(P11=1,SUM(F11:M11)+N11,"")</f>
        <v>337.11</v>
      </c>
      <c r="R11" s="38" t="n">
        <f aca="false">IF(AND(P11=1,ISNUMBER(E11)),Q11-E11,"")</f>
        <v>-0.289999999999964</v>
      </c>
      <c r="S11" s="31" t="n">
        <v>0</v>
      </c>
      <c r="T11" s="27" t="s">
        <v>364</v>
      </c>
    </row>
    <row r="12" customFormat="false" ht="15" hidden="false" customHeight="false" outlineLevel="0" collapsed="false">
      <c r="A12" s="31" t="n">
        <v>2022</v>
      </c>
      <c r="B12" s="31" t="n">
        <v>9</v>
      </c>
      <c r="C12" s="27" t="s">
        <v>166</v>
      </c>
      <c r="D12" s="27" t="s">
        <v>363</v>
      </c>
      <c r="E12" s="31" t="n">
        <v>276.3</v>
      </c>
      <c r="F12" s="31" t="n">
        <v>78.78</v>
      </c>
      <c r="G12" s="31" t="n">
        <v>72.5</v>
      </c>
      <c r="H12" s="31" t="n">
        <v>125</v>
      </c>
      <c r="I12" s="31"/>
      <c r="J12" s="31"/>
      <c r="K12" s="31"/>
      <c r="L12" s="31"/>
      <c r="M12" s="31"/>
      <c r="N12" s="31"/>
      <c r="O12" s="31"/>
      <c r="P12" s="31" t="n">
        <v>1</v>
      </c>
      <c r="Q12" s="12" t="n">
        <f aca="false">IF(P12=1,SUM(F12:M12)+N12,"")</f>
        <v>276.28</v>
      </c>
      <c r="R12" s="38" t="n">
        <f aca="false">IF(AND(P12=1,ISNUMBER(E12)),Q12-E12,"")</f>
        <v>-0.0200000000000387</v>
      </c>
      <c r="S12" s="31" t="n">
        <v>0</v>
      </c>
      <c r="T12" s="27" t="s">
        <v>364</v>
      </c>
    </row>
    <row r="13" customFormat="false" ht="15" hidden="false" customHeight="false" outlineLevel="0" collapsed="false">
      <c r="A13" s="31" t="n">
        <v>2022</v>
      </c>
      <c r="B13" s="31" t="n">
        <v>10</v>
      </c>
      <c r="C13" s="27" t="s">
        <v>169</v>
      </c>
      <c r="D13" s="27" t="s">
        <v>363</v>
      </c>
      <c r="E13" s="31" t="n">
        <v>272.3</v>
      </c>
      <c r="F13" s="31" t="n">
        <v>90.9</v>
      </c>
      <c r="G13" s="31" t="n">
        <v>71.4</v>
      </c>
      <c r="H13" s="31" t="n">
        <v>110</v>
      </c>
      <c r="I13" s="31"/>
      <c r="J13" s="31"/>
      <c r="K13" s="31"/>
      <c r="L13" s="31"/>
      <c r="M13" s="31"/>
      <c r="N13" s="31"/>
      <c r="O13" s="31"/>
      <c r="P13" s="31" t="n">
        <v>1</v>
      </c>
      <c r="Q13" s="12" t="n">
        <f aca="false">IF(P13=1,SUM(F13:M13)+N13,"")</f>
        <v>272.3</v>
      </c>
      <c r="R13" s="38" t="n">
        <f aca="false">IF(AND(P13=1,ISNUMBER(E13)),Q13-E13,"")</f>
        <v>0</v>
      </c>
      <c r="S13" s="31" t="n">
        <v>0</v>
      </c>
      <c r="T13" s="27" t="s">
        <v>364</v>
      </c>
    </row>
    <row r="14" customFormat="false" ht="15" hidden="false" customHeight="false" outlineLevel="0" collapsed="false">
      <c r="A14" s="31" t="n">
        <v>2022</v>
      </c>
      <c r="B14" s="31" t="n">
        <v>11</v>
      </c>
      <c r="C14" s="27" t="s">
        <v>163</v>
      </c>
      <c r="D14" s="27" t="s">
        <v>363</v>
      </c>
      <c r="E14" s="31" t="n">
        <v>257.7</v>
      </c>
      <c r="F14" s="31" t="n">
        <v>88.7</v>
      </c>
      <c r="G14" s="31" t="n">
        <v>59</v>
      </c>
      <c r="H14" s="31" t="n">
        <v>110</v>
      </c>
      <c r="I14" s="31"/>
      <c r="J14" s="31"/>
      <c r="K14" s="31"/>
      <c r="L14" s="31"/>
      <c r="M14" s="31"/>
      <c r="N14" s="31"/>
      <c r="O14" s="31"/>
      <c r="P14" s="31" t="n">
        <v>1</v>
      </c>
      <c r="Q14" s="12" t="n">
        <f aca="false">IF(P14=1,SUM(F14:M14)+N14,"")</f>
        <v>257.7</v>
      </c>
      <c r="R14" s="38" t="n">
        <f aca="false">IF(AND(P14=1,ISNUMBER(E14)),Q14-E14,"")</f>
        <v>0</v>
      </c>
      <c r="S14" s="31" t="n">
        <v>0</v>
      </c>
      <c r="T14" s="27" t="s">
        <v>364</v>
      </c>
    </row>
    <row r="15" customFormat="false" ht="15" hidden="false" customHeight="false" outlineLevel="0" collapsed="false">
      <c r="A15" s="31" t="n">
        <v>2022</v>
      </c>
      <c r="B15" s="31" t="n">
        <v>12</v>
      </c>
      <c r="C15" s="27" t="s">
        <v>152</v>
      </c>
      <c r="D15" s="27" t="s">
        <v>363</v>
      </c>
      <c r="E15" s="31" t="n">
        <v>250.6</v>
      </c>
      <c r="F15" s="31" t="n">
        <v>82</v>
      </c>
      <c r="G15" s="31" t="n">
        <v>68.6</v>
      </c>
      <c r="H15" s="31" t="n">
        <v>100</v>
      </c>
      <c r="I15" s="31"/>
      <c r="J15" s="31"/>
      <c r="K15" s="31"/>
      <c r="L15" s="31"/>
      <c r="M15" s="31"/>
      <c r="N15" s="31"/>
      <c r="O15" s="31"/>
      <c r="P15" s="31" t="n">
        <v>1</v>
      </c>
      <c r="Q15" s="12" t="n">
        <f aca="false">IF(P15=1,SUM(F15:M15)+N15,"")</f>
        <v>250.6</v>
      </c>
      <c r="R15" s="38" t="n">
        <f aca="false">IF(AND(P15=1,ISNUMBER(E15)),Q15-E15,"")</f>
        <v>0</v>
      </c>
      <c r="S15" s="31" t="n">
        <v>0</v>
      </c>
      <c r="T15" s="27" t="s">
        <v>364</v>
      </c>
    </row>
    <row r="16" customFormat="false" ht="15" hidden="false" customHeight="false" outlineLevel="0" collapsed="false">
      <c r="A16" s="31" t="n">
        <v>2022</v>
      </c>
      <c r="B16" s="31" t="n">
        <v>13</v>
      </c>
      <c r="C16" s="27" t="s">
        <v>151</v>
      </c>
      <c r="D16" s="27" t="s">
        <v>363</v>
      </c>
      <c r="E16" s="31" t="n">
        <v>249.4</v>
      </c>
      <c r="F16" s="31" t="n">
        <v>66.23</v>
      </c>
      <c r="G16" s="31" t="n">
        <v>73.2</v>
      </c>
      <c r="H16" s="31" t="n">
        <v>110</v>
      </c>
      <c r="I16" s="31"/>
      <c r="J16" s="31"/>
      <c r="K16" s="31"/>
      <c r="L16" s="31"/>
      <c r="M16" s="31"/>
      <c r="N16" s="31"/>
      <c r="O16" s="31"/>
      <c r="P16" s="31" t="n">
        <v>1</v>
      </c>
      <c r="Q16" s="12" t="n">
        <f aca="false">IF(P16=1,SUM(F16:M16)+N16,"")</f>
        <v>249.43</v>
      </c>
      <c r="R16" s="38" t="n">
        <f aca="false">IF(AND(P16=1,ISNUMBER(E16)),Q16-E16,"")</f>
        <v>0.0300000000000011</v>
      </c>
      <c r="S16" s="31" t="n">
        <v>0</v>
      </c>
      <c r="T16" s="27" t="s">
        <v>364</v>
      </c>
    </row>
    <row r="17" customFormat="false" ht="15" hidden="false" customHeight="false" outlineLevel="0" collapsed="false">
      <c r="A17" s="31" t="n">
        <v>2022</v>
      </c>
      <c r="B17" s="31" t="n">
        <v>14</v>
      </c>
      <c r="C17" s="27" t="s">
        <v>221</v>
      </c>
      <c r="D17" s="27" t="s">
        <v>363</v>
      </c>
      <c r="E17" s="31" t="n">
        <v>225.7</v>
      </c>
      <c r="F17" s="31" t="n">
        <v>82.45</v>
      </c>
      <c r="G17" s="31" t="n">
        <v>68.3</v>
      </c>
      <c r="H17" s="31" t="n">
        <v>40</v>
      </c>
      <c r="I17" s="31"/>
      <c r="J17" s="31" t="n">
        <v>3.5</v>
      </c>
      <c r="K17" s="31" t="n">
        <v>6.5</v>
      </c>
      <c r="L17" s="31" t="n">
        <v>25</v>
      </c>
      <c r="M17" s="31"/>
      <c r="N17" s="31"/>
      <c r="O17" s="31"/>
      <c r="P17" s="31" t="n">
        <v>1</v>
      </c>
      <c r="Q17" s="12" t="n">
        <f aca="false">IF(P17=1,SUM(F17:M17)+N17,"")</f>
        <v>225.75</v>
      </c>
      <c r="R17" s="38" t="n">
        <f aca="false">IF(AND(P17=1,ISNUMBER(E17)),Q17-E17,"")</f>
        <v>0.0500000000000114</v>
      </c>
      <c r="S17" s="31" t="n">
        <v>0</v>
      </c>
      <c r="T17" s="27" t="s">
        <v>364</v>
      </c>
    </row>
    <row r="18" customFormat="false" ht="15" hidden="false" customHeight="false" outlineLevel="0" collapsed="false">
      <c r="A18" s="31" t="n">
        <v>2022</v>
      </c>
      <c r="B18" s="31" t="n">
        <v>15</v>
      </c>
      <c r="C18" s="27" t="s">
        <v>365</v>
      </c>
      <c r="D18" s="27" t="s">
        <v>363</v>
      </c>
      <c r="E18" s="31" t="n">
        <v>212.4</v>
      </c>
      <c r="F18" s="31" t="n">
        <v>77.44</v>
      </c>
      <c r="G18" s="31" t="n">
        <v>75</v>
      </c>
      <c r="H18" s="31" t="n">
        <v>60</v>
      </c>
      <c r="I18" s="31"/>
      <c r="J18" s="31"/>
      <c r="K18" s="31"/>
      <c r="L18" s="31"/>
      <c r="M18" s="31"/>
      <c r="N18" s="31"/>
      <c r="O18" s="31"/>
      <c r="P18" s="31" t="n">
        <v>1</v>
      </c>
      <c r="Q18" s="12" t="n">
        <f aca="false">IF(P18=1,SUM(F18:M18)+N18,"")</f>
        <v>212.44</v>
      </c>
      <c r="R18" s="38" t="n">
        <f aca="false">IF(AND(P18=1,ISNUMBER(E18)),Q18-E18,"")</f>
        <v>0.039999999999992</v>
      </c>
      <c r="S18" s="31" t="n">
        <v>0</v>
      </c>
      <c r="T18" s="27" t="s">
        <v>364</v>
      </c>
    </row>
    <row r="19" customFormat="false" ht="15" hidden="false" customHeight="false" outlineLevel="0" collapsed="false">
      <c r="A19" s="31" t="n">
        <v>2022</v>
      </c>
      <c r="B19" s="31" t="n">
        <v>16</v>
      </c>
      <c r="C19" s="27" t="s">
        <v>194</v>
      </c>
      <c r="D19" s="27" t="s">
        <v>363</v>
      </c>
      <c r="E19" s="31" t="n">
        <v>209.7</v>
      </c>
      <c r="F19" s="31" t="n">
        <v>69.21</v>
      </c>
      <c r="G19" s="31" t="n">
        <v>70.5</v>
      </c>
      <c r="H19" s="31" t="n">
        <v>70</v>
      </c>
      <c r="I19" s="31"/>
      <c r="J19" s="31"/>
      <c r="K19" s="31"/>
      <c r="L19" s="31"/>
      <c r="M19" s="31"/>
      <c r="N19" s="31"/>
      <c r="O19" s="31"/>
      <c r="P19" s="31" t="n">
        <v>1</v>
      </c>
      <c r="Q19" s="12" t="n">
        <f aca="false">IF(P19=1,SUM(F19:M19)+N19,"")</f>
        <v>209.71</v>
      </c>
      <c r="R19" s="38" t="n">
        <f aca="false">IF(AND(P19=1,ISNUMBER(E19)),Q19-E19,"")</f>
        <v>0.00999999999999091</v>
      </c>
      <c r="S19" s="31" t="n">
        <v>0</v>
      </c>
      <c r="T19" s="27" t="s">
        <v>364</v>
      </c>
    </row>
    <row r="20" customFormat="false" ht="15" hidden="false" customHeight="false" outlineLevel="0" collapsed="false">
      <c r="A20" s="31" t="n">
        <v>2022</v>
      </c>
      <c r="B20" s="31" t="n">
        <v>17</v>
      </c>
      <c r="C20" s="27" t="s">
        <v>184</v>
      </c>
      <c r="D20" s="27" t="s">
        <v>363</v>
      </c>
      <c r="E20" s="31" t="n">
        <v>205.3</v>
      </c>
      <c r="F20" s="31" t="n">
        <v>54.68</v>
      </c>
      <c r="G20" s="31" t="n">
        <v>60.6</v>
      </c>
      <c r="H20" s="31" t="n">
        <v>90</v>
      </c>
      <c r="I20" s="31"/>
      <c r="J20" s="31"/>
      <c r="K20" s="31"/>
      <c r="L20" s="31"/>
      <c r="M20" s="31"/>
      <c r="N20" s="31"/>
      <c r="O20" s="31"/>
      <c r="P20" s="31" t="n">
        <v>1</v>
      </c>
      <c r="Q20" s="12" t="n">
        <f aca="false">IF(P20=1,SUM(F20:M20)+N20,"")</f>
        <v>205.28</v>
      </c>
      <c r="R20" s="38" t="n">
        <f aca="false">IF(AND(P20=1,ISNUMBER(E20)),Q20-E20,"")</f>
        <v>-0.0200000000000102</v>
      </c>
      <c r="S20" s="31" t="n">
        <v>0</v>
      </c>
      <c r="T20" s="27" t="s">
        <v>364</v>
      </c>
    </row>
    <row r="21" customFormat="false" ht="15" hidden="false" customHeight="false" outlineLevel="0" collapsed="false">
      <c r="A21" s="31" t="n">
        <v>2022</v>
      </c>
      <c r="B21" s="31" t="n">
        <v>18</v>
      </c>
      <c r="C21" s="27" t="s">
        <v>158</v>
      </c>
      <c r="D21" s="27" t="s">
        <v>363</v>
      </c>
      <c r="E21" s="31" t="n">
        <v>199.9</v>
      </c>
      <c r="F21" s="31" t="n">
        <v>44.69</v>
      </c>
      <c r="G21" s="31" t="n">
        <v>65.2</v>
      </c>
      <c r="H21" s="31" t="n">
        <v>90</v>
      </c>
      <c r="I21" s="31"/>
      <c r="J21" s="31"/>
      <c r="K21" s="31"/>
      <c r="L21" s="31"/>
      <c r="M21" s="31"/>
      <c r="N21" s="31"/>
      <c r="O21" s="31"/>
      <c r="P21" s="31" t="n">
        <v>1</v>
      </c>
      <c r="Q21" s="12" t="n">
        <f aca="false">IF(P21=1,SUM(F21:M21)+N21,"")</f>
        <v>199.89</v>
      </c>
      <c r="R21" s="38" t="n">
        <f aca="false">IF(AND(P21=1,ISNUMBER(E21)),Q21-E21,"")</f>
        <v>-0.0100000000000193</v>
      </c>
      <c r="S21" s="31" t="n">
        <v>0</v>
      </c>
      <c r="T21" s="27" t="s">
        <v>364</v>
      </c>
    </row>
    <row r="22" customFormat="false" ht="15" hidden="false" customHeight="false" outlineLevel="0" collapsed="false">
      <c r="A22" s="31" t="n">
        <v>2022</v>
      </c>
      <c r="B22" s="31" t="n">
        <v>19</v>
      </c>
      <c r="C22" s="27" t="s">
        <v>160</v>
      </c>
      <c r="D22" s="27" t="s">
        <v>363</v>
      </c>
      <c r="E22" s="31" t="n">
        <v>196.4</v>
      </c>
      <c r="F22" s="31" t="n">
        <v>80.23</v>
      </c>
      <c r="G22" s="31" t="n">
        <v>46.2</v>
      </c>
      <c r="H22" s="31" t="n">
        <v>80</v>
      </c>
      <c r="I22" s="31"/>
      <c r="J22" s="31"/>
      <c r="K22" s="31"/>
      <c r="L22" s="31"/>
      <c r="M22" s="31"/>
      <c r="N22" s="31" t="n">
        <v>-10</v>
      </c>
      <c r="O22" s="31"/>
      <c r="P22" s="31" t="n">
        <v>1</v>
      </c>
      <c r="Q22" s="12" t="n">
        <f aca="false">IF(P22=1,SUM(F22:M22)+N22,"")</f>
        <v>196.43</v>
      </c>
      <c r="R22" s="38" t="n">
        <f aca="false">IF(AND(P22=1,ISNUMBER(E22)),Q22-E22,"")</f>
        <v>0.0300000000000011</v>
      </c>
      <c r="S22" s="31" t="n">
        <v>0</v>
      </c>
      <c r="T22" s="27" t="s">
        <v>364</v>
      </c>
    </row>
    <row r="23" customFormat="false" ht="15" hidden="false" customHeight="false" outlineLevel="0" collapsed="false">
      <c r="A23" s="31" t="n">
        <v>2022</v>
      </c>
      <c r="B23" s="31" t="n">
        <v>20</v>
      </c>
      <c r="C23" s="27" t="s">
        <v>222</v>
      </c>
      <c r="D23" s="27" t="s">
        <v>363</v>
      </c>
      <c r="E23" s="31" t="n">
        <v>182.1</v>
      </c>
      <c r="F23" s="31" t="n">
        <v>52.66</v>
      </c>
      <c r="G23" s="31" t="n">
        <v>59.4</v>
      </c>
      <c r="H23" s="31" t="n">
        <v>70</v>
      </c>
      <c r="I23" s="31"/>
      <c r="J23" s="31"/>
      <c r="K23" s="31"/>
      <c r="L23" s="31"/>
      <c r="M23" s="31"/>
      <c r="N23" s="31"/>
      <c r="O23" s="31"/>
      <c r="P23" s="31" t="n">
        <v>1</v>
      </c>
      <c r="Q23" s="12" t="n">
        <f aca="false">IF(P23=1,SUM(F23:M23)+N23,"")</f>
        <v>182.06</v>
      </c>
      <c r="R23" s="38" t="n">
        <f aca="false">IF(AND(P23=1,ISNUMBER(E23)),Q23-E23,"")</f>
        <v>-0.039999999999992</v>
      </c>
      <c r="S23" s="31" t="n">
        <v>0</v>
      </c>
      <c r="T23" s="27" t="s">
        <v>364</v>
      </c>
    </row>
    <row r="24" customFormat="false" ht="15" hidden="false" customHeight="false" outlineLevel="0" collapsed="false">
      <c r="A24" s="31" t="n">
        <v>2022</v>
      </c>
      <c r="B24" s="31" t="n">
        <v>21</v>
      </c>
      <c r="C24" s="27" t="s">
        <v>154</v>
      </c>
      <c r="D24" s="27" t="s">
        <v>363</v>
      </c>
      <c r="E24" s="31" t="n">
        <v>181.7</v>
      </c>
      <c r="F24" s="31" t="n">
        <v>76.3</v>
      </c>
      <c r="G24" s="31" t="n">
        <v>55.4</v>
      </c>
      <c r="H24" s="31" t="n">
        <v>50</v>
      </c>
      <c r="I24" s="31"/>
      <c r="J24" s="31"/>
      <c r="K24" s="31"/>
      <c r="L24" s="31"/>
      <c r="M24" s="31"/>
      <c r="N24" s="31"/>
      <c r="O24" s="31"/>
      <c r="P24" s="31" t="n">
        <v>1</v>
      </c>
      <c r="Q24" s="12" t="n">
        <f aca="false">IF(P24=1,SUM(F24:M24)+N24,"")</f>
        <v>181.7</v>
      </c>
      <c r="R24" s="38" t="n">
        <f aca="false">IF(AND(P24=1,ISNUMBER(E24)),Q24-E24,"")</f>
        <v>0</v>
      </c>
      <c r="S24" s="31" t="n">
        <v>0</v>
      </c>
      <c r="T24" s="27" t="s">
        <v>364</v>
      </c>
    </row>
    <row r="25" customFormat="false" ht="15" hidden="false" customHeight="false" outlineLevel="0" collapsed="false">
      <c r="A25" s="31" t="n">
        <v>2022</v>
      </c>
      <c r="B25" s="31" t="n">
        <v>22</v>
      </c>
      <c r="C25" s="27" t="s">
        <v>157</v>
      </c>
      <c r="D25" s="27" t="s">
        <v>363</v>
      </c>
      <c r="E25" s="31" t="n">
        <v>178.2</v>
      </c>
      <c r="F25" s="31" t="n">
        <v>55.91</v>
      </c>
      <c r="G25" s="31" t="n">
        <v>47.3</v>
      </c>
      <c r="H25" s="31" t="n">
        <v>60</v>
      </c>
      <c r="I25" s="31"/>
      <c r="J25" s="31" t="n">
        <v>3.5</v>
      </c>
      <c r="K25" s="31" t="n">
        <v>6.5</v>
      </c>
      <c r="L25" s="31" t="n">
        <v>5</v>
      </c>
      <c r="M25" s="31"/>
      <c r="N25" s="31"/>
      <c r="O25" s="31"/>
      <c r="P25" s="31" t="n">
        <v>1</v>
      </c>
      <c r="Q25" s="12" t="n">
        <f aca="false">IF(P25=1,SUM(F25:M25)+N25,"")</f>
        <v>178.21</v>
      </c>
      <c r="R25" s="38" t="n">
        <f aca="false">IF(AND(P25=1,ISNUMBER(E25)),Q25-E25,"")</f>
        <v>0.00999999999999091</v>
      </c>
      <c r="S25" s="31" t="n">
        <v>0</v>
      </c>
      <c r="T25" s="27" t="s">
        <v>364</v>
      </c>
    </row>
    <row r="26" customFormat="false" ht="15" hidden="false" customHeight="false" outlineLevel="0" collapsed="false">
      <c r="A26" s="31" t="n">
        <v>2022</v>
      </c>
      <c r="B26" s="31" t="n">
        <v>23</v>
      </c>
      <c r="C26" s="27" t="s">
        <v>200</v>
      </c>
      <c r="D26" s="27" t="s">
        <v>363</v>
      </c>
      <c r="E26" s="31" t="n">
        <v>177.5</v>
      </c>
      <c r="F26" s="31" t="n">
        <v>69.12</v>
      </c>
      <c r="G26" s="31" t="n">
        <v>45.4</v>
      </c>
      <c r="H26" s="31" t="n">
        <v>70</v>
      </c>
      <c r="I26" s="31"/>
      <c r="J26" s="31"/>
      <c r="K26" s="31"/>
      <c r="L26" s="31" t="n">
        <v>3</v>
      </c>
      <c r="M26" s="31"/>
      <c r="N26" s="31" t="n">
        <v>-10</v>
      </c>
      <c r="O26" s="31"/>
      <c r="P26" s="31" t="n">
        <v>1</v>
      </c>
      <c r="Q26" s="12" t="n">
        <f aca="false">IF(P26=1,SUM(F26:M26)+N26,"")</f>
        <v>179.52</v>
      </c>
      <c r="R26" s="38" t="n">
        <f aca="false">IF(AND(P26=1,ISNUMBER(E26)),Q26-E26,"")</f>
        <v>2.02000000000001</v>
      </c>
      <c r="S26" s="31" t="n">
        <v>0</v>
      </c>
      <c r="T26" s="27" t="s">
        <v>364</v>
      </c>
    </row>
    <row r="27" customFormat="false" ht="15" hidden="false" customHeight="false" outlineLevel="0" collapsed="false">
      <c r="A27" s="31" t="n">
        <v>2022</v>
      </c>
      <c r="B27" s="31" t="n">
        <v>24</v>
      </c>
      <c r="C27" s="27" t="s">
        <v>161</v>
      </c>
      <c r="D27" s="27" t="s">
        <v>363</v>
      </c>
      <c r="E27" s="31" t="n">
        <v>177.4</v>
      </c>
      <c r="F27" s="31" t="n">
        <v>55.44</v>
      </c>
      <c r="G27" s="31" t="n">
        <v>62</v>
      </c>
      <c r="H27" s="31" t="n">
        <v>60</v>
      </c>
      <c r="I27" s="31"/>
      <c r="J27" s="31"/>
      <c r="K27" s="31"/>
      <c r="L27" s="31"/>
      <c r="M27" s="31"/>
      <c r="N27" s="31"/>
      <c r="O27" s="31"/>
      <c r="P27" s="31" t="n">
        <v>1</v>
      </c>
      <c r="Q27" s="12" t="n">
        <f aca="false">IF(P27=1,SUM(F27:M27)+N27,"")</f>
        <v>177.44</v>
      </c>
      <c r="R27" s="38" t="n">
        <f aca="false">IF(AND(P27=1,ISNUMBER(E27)),Q27-E27,"")</f>
        <v>0.039999999999992</v>
      </c>
      <c r="S27" s="31" t="n">
        <v>0</v>
      </c>
      <c r="T27" s="27" t="s">
        <v>364</v>
      </c>
    </row>
    <row r="28" customFormat="false" ht="15" hidden="false" customHeight="false" outlineLevel="0" collapsed="false">
      <c r="A28" s="31" t="n">
        <v>2022</v>
      </c>
      <c r="B28" s="31" t="n">
        <v>25</v>
      </c>
      <c r="C28" s="27" t="s">
        <v>202</v>
      </c>
      <c r="D28" s="27" t="s">
        <v>363</v>
      </c>
      <c r="E28" s="31" t="n">
        <v>177.2</v>
      </c>
      <c r="F28" s="31" t="n">
        <v>59.82</v>
      </c>
      <c r="G28" s="31" t="n">
        <v>47.4</v>
      </c>
      <c r="H28" s="31" t="n">
        <v>70</v>
      </c>
      <c r="I28" s="31"/>
      <c r="J28" s="31"/>
      <c r="K28" s="31"/>
      <c r="L28" s="31"/>
      <c r="M28" s="31"/>
      <c r="N28" s="31"/>
      <c r="O28" s="31"/>
      <c r="P28" s="31" t="n">
        <v>1</v>
      </c>
      <c r="Q28" s="12" t="n">
        <f aca="false">IF(P28=1,SUM(F28:M28)+N28,"")</f>
        <v>177.22</v>
      </c>
      <c r="R28" s="38" t="n">
        <f aca="false">IF(AND(P28=1,ISNUMBER(E28)),Q28-E28,"")</f>
        <v>0.0200000000000102</v>
      </c>
      <c r="S28" s="31" t="n">
        <v>0</v>
      </c>
      <c r="T28" s="27" t="s">
        <v>364</v>
      </c>
    </row>
    <row r="29" customFormat="false" ht="15" hidden="false" customHeight="false" outlineLevel="0" collapsed="false">
      <c r="A29" s="31" t="n">
        <v>2022</v>
      </c>
      <c r="B29" s="31" t="n">
        <v>26</v>
      </c>
      <c r="C29" s="27" t="s">
        <v>186</v>
      </c>
      <c r="D29" s="27" t="s">
        <v>363</v>
      </c>
      <c r="E29" s="31" t="n">
        <v>176.1</v>
      </c>
      <c r="F29" s="31" t="n">
        <v>60.01</v>
      </c>
      <c r="G29" s="31" t="n">
        <v>56</v>
      </c>
      <c r="H29" s="31" t="n">
        <v>60</v>
      </c>
      <c r="I29" s="31"/>
      <c r="J29" s="31"/>
      <c r="K29" s="31"/>
      <c r="L29" s="31"/>
      <c r="M29" s="31"/>
      <c r="N29" s="31"/>
      <c r="O29" s="31"/>
      <c r="P29" s="31" t="n">
        <v>1</v>
      </c>
      <c r="Q29" s="12" t="n">
        <f aca="false">IF(P29=1,SUM(F29:M29)+N29,"")</f>
        <v>176.01</v>
      </c>
      <c r="R29" s="38" t="n">
        <f aca="false">IF(AND(P29=1,ISNUMBER(E29)),Q29-E29,"")</f>
        <v>-0.0900000000000034</v>
      </c>
      <c r="S29" s="31" t="n">
        <v>0</v>
      </c>
      <c r="T29" s="27" t="s">
        <v>364</v>
      </c>
    </row>
    <row r="30" customFormat="false" ht="15" hidden="false" customHeight="false" outlineLevel="0" collapsed="false">
      <c r="A30" s="31" t="n">
        <v>2022</v>
      </c>
      <c r="B30" s="31" t="n">
        <v>27</v>
      </c>
      <c r="C30" s="27" t="s">
        <v>216</v>
      </c>
      <c r="D30" s="27" t="s">
        <v>363</v>
      </c>
      <c r="E30" s="31" t="n">
        <v>174.3</v>
      </c>
      <c r="F30" s="31" t="n">
        <v>60.3</v>
      </c>
      <c r="G30" s="31" t="n">
        <v>54</v>
      </c>
      <c r="H30" s="31" t="n">
        <v>60</v>
      </c>
      <c r="I30" s="31"/>
      <c r="J30" s="31"/>
      <c r="K30" s="31"/>
      <c r="L30" s="31"/>
      <c r="M30" s="31"/>
      <c r="N30" s="31"/>
      <c r="O30" s="31"/>
      <c r="P30" s="31" t="n">
        <v>1</v>
      </c>
      <c r="Q30" s="12" t="n">
        <f aca="false">IF(P30=1,SUM(F30:M30)+N30,"")</f>
        <v>174.3</v>
      </c>
      <c r="R30" s="38" t="n">
        <f aca="false">IF(AND(P30=1,ISNUMBER(E30)),Q30-E30,"")</f>
        <v>0</v>
      </c>
      <c r="S30" s="31" t="n">
        <v>0</v>
      </c>
      <c r="T30" s="27" t="s">
        <v>364</v>
      </c>
    </row>
    <row r="31" customFormat="false" ht="15" hidden="false" customHeight="false" outlineLevel="0" collapsed="false">
      <c r="A31" s="31" t="n">
        <v>2022</v>
      </c>
      <c r="B31" s="31" t="n">
        <v>28</v>
      </c>
      <c r="C31" s="27" t="s">
        <v>198</v>
      </c>
      <c r="D31" s="27" t="s">
        <v>363</v>
      </c>
      <c r="E31" s="31" t="n">
        <v>173.6</v>
      </c>
      <c r="F31" s="31" t="n">
        <v>54.32</v>
      </c>
      <c r="G31" s="31" t="n">
        <v>59.3</v>
      </c>
      <c r="H31" s="31" t="n">
        <v>60</v>
      </c>
      <c r="I31" s="31"/>
      <c r="J31" s="31"/>
      <c r="K31" s="31"/>
      <c r="L31" s="31"/>
      <c r="M31" s="31"/>
      <c r="N31" s="31"/>
      <c r="O31" s="31"/>
      <c r="P31" s="31" t="n">
        <v>1</v>
      </c>
      <c r="Q31" s="12" t="n">
        <f aca="false">IF(P31=1,SUM(F31:M31)+N31,"")</f>
        <v>173.62</v>
      </c>
      <c r="R31" s="38" t="n">
        <f aca="false">IF(AND(P31=1,ISNUMBER(E31)),Q31-E31,"")</f>
        <v>0.0200000000000102</v>
      </c>
      <c r="S31" s="31" t="n">
        <v>0</v>
      </c>
      <c r="T31" s="27" t="s">
        <v>364</v>
      </c>
    </row>
    <row r="32" customFormat="false" ht="15" hidden="false" customHeight="false" outlineLevel="0" collapsed="false">
      <c r="A32" s="31" t="n">
        <v>2022</v>
      </c>
      <c r="B32" s="31" t="n">
        <v>29</v>
      </c>
      <c r="C32" s="27" t="s">
        <v>366</v>
      </c>
      <c r="D32" s="27" t="s">
        <v>363</v>
      </c>
      <c r="E32" s="31" t="n">
        <v>168</v>
      </c>
      <c r="F32" s="31" t="n">
        <v>60.05</v>
      </c>
      <c r="G32" s="31" t="n">
        <v>47.9</v>
      </c>
      <c r="H32" s="31" t="n">
        <v>60</v>
      </c>
      <c r="I32" s="31"/>
      <c r="J32" s="31"/>
      <c r="K32" s="31"/>
      <c r="L32" s="31"/>
      <c r="M32" s="31"/>
      <c r="N32" s="31"/>
      <c r="O32" s="31"/>
      <c r="P32" s="31" t="n">
        <v>1</v>
      </c>
      <c r="Q32" s="12" t="n">
        <f aca="false">IF(P32=1,SUM(F32:M32)+N32,"")</f>
        <v>167.95</v>
      </c>
      <c r="R32" s="38" t="n">
        <f aca="false">IF(AND(P32=1,ISNUMBER(E32)),Q32-E32,"")</f>
        <v>-0.0500000000000114</v>
      </c>
      <c r="S32" s="31" t="n">
        <v>0</v>
      </c>
      <c r="T32" s="27" t="s">
        <v>364</v>
      </c>
    </row>
    <row r="33" customFormat="false" ht="15" hidden="false" customHeight="false" outlineLevel="0" collapsed="false">
      <c r="A33" s="31" t="n">
        <v>2022</v>
      </c>
      <c r="B33" s="31" t="n">
        <v>30</v>
      </c>
      <c r="C33" s="27" t="s">
        <v>329</v>
      </c>
      <c r="D33" s="27" t="s">
        <v>363</v>
      </c>
      <c r="E33" s="31" t="n">
        <v>145.3</v>
      </c>
      <c r="F33" s="31"/>
      <c r="G33" s="31" t="n">
        <v>65.3</v>
      </c>
      <c r="H33" s="31" t="n">
        <v>80</v>
      </c>
      <c r="I33" s="31"/>
      <c r="J33" s="31"/>
      <c r="K33" s="31"/>
      <c r="L33" s="31"/>
      <c r="M33" s="31"/>
      <c r="N33" s="31"/>
      <c r="O33" s="31"/>
      <c r="P33" s="31" t="n">
        <v>1</v>
      </c>
      <c r="Q33" s="12" t="n">
        <f aca="false">IF(P33=1,SUM(F33:M33)+N33,"")</f>
        <v>145.3</v>
      </c>
      <c r="R33" s="38" t="n">
        <f aca="false">IF(AND(P33=1,ISNUMBER(E33)),Q33-E33,"")</f>
        <v>0</v>
      </c>
      <c r="S33" s="31" t="n">
        <v>0</v>
      </c>
      <c r="T33" s="27" t="s">
        <v>364</v>
      </c>
    </row>
    <row r="34" customFormat="false" ht="15" hidden="false" customHeight="false" outlineLevel="0" collapsed="false">
      <c r="A34" s="31" t="n">
        <v>2022</v>
      </c>
      <c r="B34" s="31" t="n">
        <v>31</v>
      </c>
      <c r="C34" s="27" t="s">
        <v>211</v>
      </c>
      <c r="D34" s="27" t="s">
        <v>363</v>
      </c>
      <c r="E34" s="31" t="n">
        <v>144</v>
      </c>
      <c r="F34" s="31" t="n">
        <v>57.04</v>
      </c>
      <c r="G34" s="31" t="n">
        <v>67</v>
      </c>
      <c r="H34" s="31" t="n">
        <v>20</v>
      </c>
      <c r="I34" s="31"/>
      <c r="J34" s="31"/>
      <c r="K34" s="31"/>
      <c r="L34" s="31"/>
      <c r="M34" s="31"/>
      <c r="N34" s="31"/>
      <c r="O34" s="31"/>
      <c r="P34" s="31" t="n">
        <v>1</v>
      </c>
      <c r="Q34" s="12" t="n">
        <f aca="false">IF(P34=1,SUM(F34:M34)+N34,"")</f>
        <v>144.04</v>
      </c>
      <c r="R34" s="38" t="n">
        <f aca="false">IF(AND(P34=1,ISNUMBER(E34)),Q34-E34,"")</f>
        <v>0.039999999999992</v>
      </c>
      <c r="S34" s="31" t="n">
        <v>0</v>
      </c>
      <c r="T34" s="27" t="s">
        <v>364</v>
      </c>
    </row>
    <row r="35" customFormat="false" ht="15" hidden="false" customHeight="false" outlineLevel="0" collapsed="false">
      <c r="A35" s="31" t="n">
        <v>2022</v>
      </c>
      <c r="B35" s="31" t="n">
        <v>32</v>
      </c>
      <c r="C35" s="27" t="s">
        <v>208</v>
      </c>
      <c r="D35" s="27" t="s">
        <v>363</v>
      </c>
      <c r="E35" s="31" t="n">
        <v>136.5</v>
      </c>
      <c r="F35" s="31" t="n">
        <v>86.5</v>
      </c>
      <c r="G35" s="31"/>
      <c r="H35" s="31" t="n">
        <v>50</v>
      </c>
      <c r="I35" s="31"/>
      <c r="J35" s="31"/>
      <c r="K35" s="31"/>
      <c r="L35" s="31"/>
      <c r="M35" s="31"/>
      <c r="N35" s="31"/>
      <c r="O35" s="31"/>
      <c r="P35" s="31" t="n">
        <v>1</v>
      </c>
      <c r="Q35" s="12" t="n">
        <f aca="false">IF(P35=1,SUM(F35:M35)+N35,"")</f>
        <v>136.5</v>
      </c>
      <c r="R35" s="38" t="n">
        <f aca="false">IF(AND(P35=1,ISNUMBER(E35)),Q35-E35,"")</f>
        <v>0</v>
      </c>
      <c r="S35" s="31" t="n">
        <v>0</v>
      </c>
      <c r="T35" s="27" t="s">
        <v>364</v>
      </c>
    </row>
    <row r="36" customFormat="false" ht="15" hidden="false" customHeight="false" outlineLevel="0" collapsed="false">
      <c r="A36" s="31" t="n">
        <v>2022</v>
      </c>
      <c r="B36" s="31" t="n">
        <v>33</v>
      </c>
      <c r="C36" s="27" t="s">
        <v>330</v>
      </c>
      <c r="D36" s="27" t="s">
        <v>363</v>
      </c>
      <c r="E36" s="31" t="n">
        <v>136.4</v>
      </c>
      <c r="F36" s="31" t="n">
        <v>31.68</v>
      </c>
      <c r="G36" s="31" t="n">
        <v>64.7</v>
      </c>
      <c r="H36" s="31" t="n">
        <v>50</v>
      </c>
      <c r="I36" s="31"/>
      <c r="J36" s="31"/>
      <c r="K36" s="31"/>
      <c r="L36" s="31"/>
      <c r="M36" s="31"/>
      <c r="N36" s="31" t="n">
        <v>-10</v>
      </c>
      <c r="O36" s="31"/>
      <c r="P36" s="31" t="n">
        <v>1</v>
      </c>
      <c r="Q36" s="12" t="n">
        <f aca="false">IF(P36=1,SUM(F36:M36)+N36,"")</f>
        <v>136.38</v>
      </c>
      <c r="R36" s="38" t="n">
        <f aca="false">IF(AND(P36=1,ISNUMBER(E36)),Q36-E36,"")</f>
        <v>-0.0200000000000102</v>
      </c>
      <c r="S36" s="31" t="n">
        <v>0</v>
      </c>
      <c r="T36" s="27" t="s">
        <v>364</v>
      </c>
    </row>
    <row r="37" customFormat="false" ht="15" hidden="false" customHeight="false" outlineLevel="0" collapsed="false">
      <c r="A37" s="31" t="n">
        <v>2022</v>
      </c>
      <c r="B37" s="31" t="n">
        <v>34</v>
      </c>
      <c r="C37" s="27" t="s">
        <v>332</v>
      </c>
      <c r="D37" s="27" t="s">
        <v>363</v>
      </c>
      <c r="E37" s="31" t="n">
        <v>134.5</v>
      </c>
      <c r="F37" s="31"/>
      <c r="G37" s="31" t="n">
        <v>54.5</v>
      </c>
      <c r="H37" s="31" t="n">
        <v>80</v>
      </c>
      <c r="I37" s="31"/>
      <c r="J37" s="31"/>
      <c r="K37" s="31"/>
      <c r="L37" s="31"/>
      <c r="M37" s="31"/>
      <c r="N37" s="31"/>
      <c r="O37" s="31"/>
      <c r="P37" s="31" t="n">
        <v>1</v>
      </c>
      <c r="Q37" s="12" t="n">
        <f aca="false">IF(P37=1,SUM(F37:M37)+N37,"")</f>
        <v>134.5</v>
      </c>
      <c r="R37" s="38" t="n">
        <f aca="false">IF(AND(P37=1,ISNUMBER(E37)),Q37-E37,"")</f>
        <v>0</v>
      </c>
      <c r="S37" s="31" t="n">
        <v>0</v>
      </c>
      <c r="T37" s="27" t="s">
        <v>364</v>
      </c>
    </row>
    <row r="38" customFormat="false" ht="15" hidden="false" customHeight="false" outlineLevel="0" collapsed="false">
      <c r="A38" s="31" t="n">
        <v>2022</v>
      </c>
      <c r="B38" s="31" t="n">
        <v>35</v>
      </c>
      <c r="C38" s="27" t="s">
        <v>170</v>
      </c>
      <c r="D38" s="27" t="s">
        <v>363</v>
      </c>
      <c r="E38" s="31" t="n">
        <v>129.9</v>
      </c>
      <c r="F38" s="31"/>
      <c r="G38" s="31" t="n">
        <v>59.9</v>
      </c>
      <c r="H38" s="31" t="n">
        <v>70</v>
      </c>
      <c r="I38" s="31"/>
      <c r="J38" s="31"/>
      <c r="K38" s="31"/>
      <c r="L38" s="31"/>
      <c r="M38" s="31"/>
      <c r="N38" s="31"/>
      <c r="O38" s="31"/>
      <c r="P38" s="31" t="n">
        <v>1</v>
      </c>
      <c r="Q38" s="12" t="n">
        <f aca="false">IF(P38=1,SUM(F38:M38)+N38,"")</f>
        <v>129.9</v>
      </c>
      <c r="R38" s="38" t="n">
        <f aca="false">IF(AND(P38=1,ISNUMBER(E38)),Q38-E38,"")</f>
        <v>0</v>
      </c>
      <c r="S38" s="31" t="n">
        <v>0</v>
      </c>
      <c r="T38" s="27" t="s">
        <v>364</v>
      </c>
    </row>
    <row r="39" customFormat="false" ht="15" hidden="false" customHeight="false" outlineLevel="0" collapsed="false">
      <c r="A39" s="31" t="n">
        <v>2022</v>
      </c>
      <c r="B39" s="31" t="n">
        <v>36</v>
      </c>
      <c r="C39" s="27" t="s">
        <v>367</v>
      </c>
      <c r="D39" s="27" t="s">
        <v>363</v>
      </c>
      <c r="E39" s="31" t="n">
        <v>121.4</v>
      </c>
      <c r="F39" s="31" t="n">
        <v>34.13</v>
      </c>
      <c r="G39" s="31" t="n">
        <v>67.3</v>
      </c>
      <c r="H39" s="31" t="n">
        <v>30</v>
      </c>
      <c r="I39" s="31"/>
      <c r="J39" s="31"/>
      <c r="K39" s="31"/>
      <c r="L39" s="31"/>
      <c r="M39" s="31"/>
      <c r="N39" s="31" t="n">
        <v>-10</v>
      </c>
      <c r="O39" s="31"/>
      <c r="P39" s="31" t="n">
        <v>1</v>
      </c>
      <c r="Q39" s="12" t="n">
        <f aca="false">IF(P39=1,SUM(F39:M39)+N39,"")</f>
        <v>121.43</v>
      </c>
      <c r="R39" s="38" t="n">
        <f aca="false">IF(AND(P39=1,ISNUMBER(E39)),Q39-E39,"")</f>
        <v>0.0300000000000011</v>
      </c>
      <c r="S39" s="31" t="n">
        <v>0</v>
      </c>
      <c r="T39" s="27" t="s">
        <v>364</v>
      </c>
    </row>
    <row r="40" customFormat="false" ht="15" hidden="false" customHeight="false" outlineLevel="0" collapsed="false">
      <c r="A40" s="31" t="n">
        <v>2022</v>
      </c>
      <c r="B40" s="31" t="n">
        <v>37</v>
      </c>
      <c r="C40" s="27" t="s">
        <v>230</v>
      </c>
      <c r="D40" s="27" t="s">
        <v>363</v>
      </c>
      <c r="E40" s="31" t="n">
        <v>117</v>
      </c>
      <c r="F40" s="31" t="n">
        <v>13.5</v>
      </c>
      <c r="G40" s="31" t="n">
        <v>63.5</v>
      </c>
      <c r="H40" s="31" t="n">
        <v>40</v>
      </c>
      <c r="I40" s="31"/>
      <c r="J40" s="31"/>
      <c r="K40" s="31"/>
      <c r="L40" s="31"/>
      <c r="M40" s="31"/>
      <c r="N40" s="31"/>
      <c r="O40" s="31"/>
      <c r="P40" s="31" t="n">
        <v>1</v>
      </c>
      <c r="Q40" s="12" t="n">
        <f aca="false">IF(P40=1,SUM(F40:M40)+N40,"")</f>
        <v>117</v>
      </c>
      <c r="R40" s="38" t="n">
        <f aca="false">IF(AND(P40=1,ISNUMBER(E40)),Q40-E40,"")</f>
        <v>0</v>
      </c>
      <c r="S40" s="31" t="n">
        <v>0</v>
      </c>
      <c r="T40" s="27" t="s">
        <v>364</v>
      </c>
    </row>
    <row r="41" customFormat="false" ht="15" hidden="false" customHeight="false" outlineLevel="0" collapsed="false">
      <c r="A41" s="31" t="n">
        <v>2022</v>
      </c>
      <c r="B41" s="31" t="n">
        <v>38</v>
      </c>
      <c r="C41" s="27" t="s">
        <v>212</v>
      </c>
      <c r="D41" s="27" t="s">
        <v>363</v>
      </c>
      <c r="E41" s="31" t="n">
        <v>82.6</v>
      </c>
      <c r="F41" s="31"/>
      <c r="G41" s="31" t="n">
        <v>42.6</v>
      </c>
      <c r="H41" s="31" t="n">
        <v>40</v>
      </c>
      <c r="I41" s="31"/>
      <c r="J41" s="31"/>
      <c r="K41" s="31"/>
      <c r="L41" s="31"/>
      <c r="M41" s="31"/>
      <c r="N41" s="31"/>
      <c r="O41" s="31"/>
      <c r="P41" s="31" t="n">
        <v>1</v>
      </c>
      <c r="Q41" s="12" t="n">
        <f aca="false">IF(P41=1,SUM(F41:M41)+N41,"")</f>
        <v>82.6</v>
      </c>
      <c r="R41" s="38" t="n">
        <f aca="false">IF(AND(P41=1,ISNUMBER(E41)),Q41-E41,"")</f>
        <v>0</v>
      </c>
      <c r="S41" s="31" t="n">
        <v>0</v>
      </c>
      <c r="T41" s="27" t="s">
        <v>364</v>
      </c>
    </row>
    <row r="42" customFormat="false" ht="15" hidden="false" customHeight="false" outlineLevel="0" collapsed="false">
      <c r="A42" s="31" t="n">
        <v>2022</v>
      </c>
      <c r="B42" s="31" t="n">
        <v>39</v>
      </c>
      <c r="C42" s="27" t="s">
        <v>235</v>
      </c>
      <c r="D42" s="27" t="s">
        <v>363</v>
      </c>
      <c r="E42" s="31" t="n">
        <v>69.9</v>
      </c>
      <c r="F42" s="31"/>
      <c r="G42" s="31" t="n">
        <v>59.9</v>
      </c>
      <c r="H42" s="31" t="n">
        <v>20</v>
      </c>
      <c r="I42" s="31"/>
      <c r="J42" s="31"/>
      <c r="K42" s="31"/>
      <c r="L42" s="31"/>
      <c r="M42" s="31"/>
      <c r="N42" s="31" t="n">
        <v>-10</v>
      </c>
      <c r="O42" s="31"/>
      <c r="P42" s="31" t="n">
        <v>1</v>
      </c>
      <c r="Q42" s="12" t="n">
        <f aca="false">IF(P42=1,SUM(F42:M42)+N42,"")</f>
        <v>69.9</v>
      </c>
      <c r="R42" s="38" t="n">
        <f aca="false">IF(AND(P42=1,ISNUMBER(E42)),Q42-E42,"")</f>
        <v>0</v>
      </c>
      <c r="S42" s="31" t="n">
        <v>0</v>
      </c>
      <c r="T42" s="27" t="s">
        <v>364</v>
      </c>
    </row>
    <row r="43" customFormat="false" ht="15" hidden="false" customHeight="false" outlineLevel="0" collapsed="false">
      <c r="A43" s="31" t="n">
        <v>2022</v>
      </c>
      <c r="B43" s="31" t="n">
        <v>40</v>
      </c>
      <c r="C43" s="27" t="s">
        <v>190</v>
      </c>
      <c r="D43" s="27" t="s">
        <v>363</v>
      </c>
      <c r="E43" s="31" t="n">
        <v>69</v>
      </c>
      <c r="F43" s="31" t="n">
        <v>0.01</v>
      </c>
      <c r="G43" s="31" t="n">
        <v>59</v>
      </c>
      <c r="H43" s="31" t="n">
        <v>10</v>
      </c>
      <c r="I43" s="31"/>
      <c r="J43" s="31"/>
      <c r="K43" s="31"/>
      <c r="L43" s="31"/>
      <c r="M43" s="31"/>
      <c r="N43" s="31"/>
      <c r="O43" s="31"/>
      <c r="P43" s="31" t="n">
        <v>1</v>
      </c>
      <c r="Q43" s="12" t="n">
        <f aca="false">IF(P43=1,SUM(F43:M43)+N43,"")</f>
        <v>69.01</v>
      </c>
      <c r="R43" s="38" t="n">
        <f aca="false">IF(AND(P43=1,ISNUMBER(E43)),Q43-E43,"")</f>
        <v>0.0100000000000051</v>
      </c>
      <c r="S43" s="31" t="n">
        <v>0</v>
      </c>
      <c r="T43" s="27" t="s">
        <v>364</v>
      </c>
    </row>
    <row r="44" customFormat="false" ht="15" hidden="false" customHeight="false" outlineLevel="0" collapsed="false">
      <c r="A44" s="31" t="n">
        <v>2022</v>
      </c>
      <c r="B44" s="31" t="n">
        <v>41</v>
      </c>
      <c r="C44" s="27" t="s">
        <v>215</v>
      </c>
      <c r="D44" s="27" t="s">
        <v>363</v>
      </c>
      <c r="E44" s="31" t="n">
        <v>57.5</v>
      </c>
      <c r="F44" s="31"/>
      <c r="G44" s="31" t="n">
        <v>67.5</v>
      </c>
      <c r="H44" s="31"/>
      <c r="I44" s="31"/>
      <c r="J44" s="31"/>
      <c r="K44" s="31"/>
      <c r="L44" s="31"/>
      <c r="M44" s="31"/>
      <c r="N44" s="31" t="n">
        <v>-10</v>
      </c>
      <c r="O44" s="31"/>
      <c r="P44" s="31" t="n">
        <v>1</v>
      </c>
      <c r="Q44" s="12" t="n">
        <f aca="false">IF(P44=1,SUM(F44:M44)+N44,"")</f>
        <v>57.5</v>
      </c>
      <c r="R44" s="38" t="n">
        <f aca="false">IF(AND(P44=1,ISNUMBER(E44)),Q44-E44,"")</f>
        <v>0</v>
      </c>
      <c r="S44" s="31" t="n">
        <v>0</v>
      </c>
      <c r="T44" s="27" t="s">
        <v>364</v>
      </c>
    </row>
    <row r="45" customFormat="false" ht="15" hidden="false" customHeight="false" outlineLevel="0" collapsed="false">
      <c r="A45" s="31" t="n">
        <v>2022</v>
      </c>
      <c r="B45" s="31" t="n">
        <v>42</v>
      </c>
      <c r="C45" s="27" t="s">
        <v>217</v>
      </c>
      <c r="D45" s="27" t="s">
        <v>363</v>
      </c>
      <c r="E45" s="31" t="n">
        <v>50.6</v>
      </c>
      <c r="F45" s="31"/>
      <c r="G45" s="31" t="n">
        <v>50.6</v>
      </c>
      <c r="H45" s="31"/>
      <c r="I45" s="31"/>
      <c r="J45" s="31"/>
      <c r="K45" s="31"/>
      <c r="L45" s="31"/>
      <c r="M45" s="31"/>
      <c r="N45" s="31"/>
      <c r="O45" s="31"/>
      <c r="P45" s="31" t="n">
        <v>1</v>
      </c>
      <c r="Q45" s="12" t="n">
        <f aca="false">IF(P45=1,SUM(F45:M45)+N45,"")</f>
        <v>50.6</v>
      </c>
      <c r="R45" s="38" t="n">
        <f aca="false">IF(AND(P45=1,ISNUMBER(E45)),Q45-E45,"")</f>
        <v>0</v>
      </c>
      <c r="S45" s="31" t="n">
        <v>0</v>
      </c>
      <c r="T45" s="27" t="s">
        <v>364</v>
      </c>
    </row>
    <row r="46" customFormat="false" ht="15" hidden="false" customHeight="false" outlineLevel="0" collapsed="false">
      <c r="A46" s="31" t="n">
        <v>2022</v>
      </c>
      <c r="B46" s="31" t="n">
        <v>43</v>
      </c>
      <c r="C46" s="27" t="s">
        <v>197</v>
      </c>
      <c r="D46" s="27" t="s">
        <v>363</v>
      </c>
      <c r="E46" s="31" t="n">
        <v>42</v>
      </c>
      <c r="F46" s="31" t="n">
        <v>0.01</v>
      </c>
      <c r="G46" s="31" t="n">
        <v>52</v>
      </c>
      <c r="H46" s="31"/>
      <c r="I46" s="31"/>
      <c r="J46" s="31"/>
      <c r="K46" s="31"/>
      <c r="L46" s="31"/>
      <c r="M46" s="31"/>
      <c r="N46" s="31" t="n">
        <v>-10</v>
      </c>
      <c r="O46" s="31"/>
      <c r="P46" s="31" t="n">
        <v>1</v>
      </c>
      <c r="Q46" s="12" t="n">
        <f aca="false">IF(P46=1,SUM(F46:M46)+N46,"")</f>
        <v>42.01</v>
      </c>
      <c r="R46" s="38" t="n">
        <f aca="false">IF(AND(P46=1,ISNUMBER(E46)),Q46-E46,"")</f>
        <v>0.00999999999999801</v>
      </c>
      <c r="S46" s="31" t="n">
        <v>0</v>
      </c>
      <c r="T46" s="27" t="s">
        <v>364</v>
      </c>
    </row>
    <row r="47" customFormat="false" ht="15" hidden="false" customHeight="false" outlineLevel="0" collapsed="false">
      <c r="A47" s="31" t="n">
        <v>2022</v>
      </c>
      <c r="B47" s="31"/>
      <c r="C47" s="27" t="s">
        <v>183</v>
      </c>
      <c r="D47" s="27" t="s">
        <v>368</v>
      </c>
      <c r="E47" s="31" t="n">
        <v>53.3</v>
      </c>
      <c r="F47" s="31"/>
      <c r="G47" s="31" t="n">
        <v>53.3</v>
      </c>
      <c r="H47" s="31"/>
      <c r="I47" s="31"/>
      <c r="J47" s="31"/>
      <c r="K47" s="31"/>
      <c r="L47" s="31"/>
      <c r="M47" s="31"/>
      <c r="N47" s="31"/>
      <c r="O47" s="31"/>
      <c r="P47" s="31" t="n">
        <v>0</v>
      </c>
      <c r="Q47" s="12" t="str">
        <f aca="false">IF(P47=1,SUM(F47:M47)+N47,"")</f>
        <v/>
      </c>
      <c r="R47" s="38" t="str">
        <f aca="false">IF(AND(P47=1,ISNUMBER(E47)),Q47-E47,"")</f>
        <v/>
      </c>
      <c r="S47" s="31" t="n">
        <v>0</v>
      </c>
      <c r="T47" s="27" t="s">
        <v>364</v>
      </c>
    </row>
    <row r="48" customFormat="false" ht="15" hidden="false" customHeight="false" outlineLevel="0" collapsed="false">
      <c r="A48" s="31" t="n">
        <v>2022</v>
      </c>
      <c r="B48" s="31"/>
      <c r="C48" s="27" t="s">
        <v>199</v>
      </c>
      <c r="D48" s="27" t="s">
        <v>368</v>
      </c>
      <c r="E48" s="31" t="n">
        <v>62.5</v>
      </c>
      <c r="F48" s="31"/>
      <c r="G48" s="31" t="n">
        <v>62.5</v>
      </c>
      <c r="H48" s="31"/>
      <c r="I48" s="31"/>
      <c r="J48" s="31"/>
      <c r="K48" s="31"/>
      <c r="L48" s="31"/>
      <c r="M48" s="31"/>
      <c r="N48" s="31"/>
      <c r="O48" s="31"/>
      <c r="P48" s="31" t="n">
        <v>0</v>
      </c>
      <c r="Q48" s="12" t="str">
        <f aca="false">IF(P48=1,SUM(F48:M48)+N48,"")</f>
        <v/>
      </c>
      <c r="R48" s="38" t="str">
        <f aca="false">IF(AND(P48=1,ISNUMBER(E48)),Q48-E48,"")</f>
        <v/>
      </c>
      <c r="S48" s="31" t="n">
        <v>0</v>
      </c>
      <c r="T48" s="27" t="s">
        <v>364</v>
      </c>
    </row>
    <row r="49" customFormat="false" ht="15" hidden="false" customHeight="false" outlineLevel="0" collapsed="false">
      <c r="A49" s="31" t="n">
        <v>2022</v>
      </c>
      <c r="B49" s="31"/>
      <c r="C49" s="27" t="s">
        <v>369</v>
      </c>
      <c r="D49" s="27" t="s">
        <v>368</v>
      </c>
      <c r="E49" s="31" t="n">
        <v>52.4</v>
      </c>
      <c r="F49" s="31"/>
      <c r="G49" s="31" t="n">
        <v>52.4</v>
      </c>
      <c r="H49" s="31"/>
      <c r="I49" s="31"/>
      <c r="J49" s="31"/>
      <c r="K49" s="31"/>
      <c r="L49" s="31"/>
      <c r="M49" s="31"/>
      <c r="N49" s="31"/>
      <c r="O49" s="31"/>
      <c r="P49" s="31" t="n">
        <v>0</v>
      </c>
      <c r="Q49" s="12" t="str">
        <f aca="false">IF(P49=1,SUM(F49:M49)+N49,"")</f>
        <v/>
      </c>
      <c r="R49" s="38" t="str">
        <f aca="false">IF(AND(P49=1,ISNUMBER(E49)),Q49-E49,"")</f>
        <v/>
      </c>
      <c r="S49" s="31" t="n">
        <v>0</v>
      </c>
      <c r="T49" s="27" t="s">
        <v>364</v>
      </c>
    </row>
    <row r="50" customFormat="false" ht="15" hidden="false" customHeight="false" outlineLevel="0" collapsed="false">
      <c r="A50" s="31" t="n">
        <v>2022</v>
      </c>
      <c r="B50" s="31"/>
      <c r="C50" s="27" t="s">
        <v>168</v>
      </c>
      <c r="D50" s="27" t="s">
        <v>368</v>
      </c>
      <c r="E50" s="31" t="n">
        <v>55.2</v>
      </c>
      <c r="F50" s="31"/>
      <c r="G50" s="31" t="n">
        <v>55.2</v>
      </c>
      <c r="H50" s="31"/>
      <c r="I50" s="31"/>
      <c r="J50" s="31"/>
      <c r="K50" s="31"/>
      <c r="L50" s="31"/>
      <c r="M50" s="31"/>
      <c r="N50" s="31"/>
      <c r="O50" s="31"/>
      <c r="P50" s="31" t="n">
        <v>0</v>
      </c>
      <c r="Q50" s="12" t="str">
        <f aca="false">IF(P50=1,SUM(F50:M50)+N50,"")</f>
        <v/>
      </c>
      <c r="R50" s="38" t="str">
        <f aca="false">IF(AND(P50=1,ISNUMBER(E50)),Q50-E50,"")</f>
        <v/>
      </c>
      <c r="S50" s="31" t="n">
        <v>0</v>
      </c>
      <c r="T50" s="27" t="s">
        <v>364</v>
      </c>
    </row>
    <row r="51" customFormat="false" ht="15" hidden="false" customHeight="false" outlineLevel="0" collapsed="false">
      <c r="A51" s="31" t="n">
        <v>2022</v>
      </c>
      <c r="B51" s="31"/>
      <c r="C51" s="27" t="s">
        <v>213</v>
      </c>
      <c r="D51" s="27" t="s">
        <v>368</v>
      </c>
      <c r="E51" s="31" t="n">
        <v>56</v>
      </c>
      <c r="F51" s="31"/>
      <c r="G51" s="31" t="n">
        <v>55.9</v>
      </c>
      <c r="H51" s="31"/>
      <c r="I51" s="31"/>
      <c r="J51" s="31"/>
      <c r="K51" s="31"/>
      <c r="L51" s="31"/>
      <c r="M51" s="31"/>
      <c r="N51" s="31"/>
      <c r="O51" s="31"/>
      <c r="P51" s="31" t="n">
        <v>0</v>
      </c>
      <c r="Q51" s="12" t="str">
        <f aca="false">IF(P51=1,SUM(F51:M51)+N51,"")</f>
        <v/>
      </c>
      <c r="R51" s="38" t="str">
        <f aca="false">IF(AND(P51=1,ISNUMBER(E51)),Q51-E51,"")</f>
        <v/>
      </c>
      <c r="S51" s="31" t="n">
        <v>0</v>
      </c>
      <c r="T51" s="27" t="s">
        <v>364</v>
      </c>
    </row>
    <row r="52" customFormat="false" ht="15" hidden="false" customHeight="false" outlineLevel="0" collapsed="false">
      <c r="A52" s="31" t="n">
        <v>2022</v>
      </c>
      <c r="B52" s="31"/>
      <c r="C52" s="27" t="s">
        <v>162</v>
      </c>
      <c r="D52" s="27" t="s">
        <v>368</v>
      </c>
      <c r="E52" s="31" t="n">
        <v>68.5</v>
      </c>
      <c r="F52" s="31"/>
      <c r="G52" s="31" t="n">
        <v>68.5</v>
      </c>
      <c r="H52" s="31"/>
      <c r="I52" s="31"/>
      <c r="J52" s="31"/>
      <c r="K52" s="31"/>
      <c r="L52" s="31"/>
      <c r="M52" s="31"/>
      <c r="N52" s="31"/>
      <c r="O52" s="31"/>
      <c r="P52" s="31" t="n">
        <v>0</v>
      </c>
      <c r="Q52" s="12" t="str">
        <f aca="false">IF(P52=1,SUM(F52:M52)+N52,"")</f>
        <v/>
      </c>
      <c r="R52" s="38" t="str">
        <f aca="false">IF(AND(P52=1,ISNUMBER(E52)),Q52-E52,"")</f>
        <v/>
      </c>
      <c r="S52" s="31" t="n">
        <v>0</v>
      </c>
      <c r="T52" s="27" t="s">
        <v>364</v>
      </c>
    </row>
    <row r="53" customFormat="false" ht="15" hidden="false" customHeight="false" outlineLevel="0" collapsed="false">
      <c r="A53" s="31" t="n">
        <v>2022</v>
      </c>
      <c r="B53" s="31"/>
      <c r="C53" s="27" t="s">
        <v>370</v>
      </c>
      <c r="D53" s="27" t="s">
        <v>368</v>
      </c>
      <c r="E53" s="31" t="n">
        <v>64.7</v>
      </c>
      <c r="F53" s="31"/>
      <c r="G53" s="31" t="n">
        <v>64.7</v>
      </c>
      <c r="H53" s="31"/>
      <c r="I53" s="31"/>
      <c r="J53" s="31"/>
      <c r="K53" s="31"/>
      <c r="L53" s="31"/>
      <c r="M53" s="31"/>
      <c r="N53" s="31"/>
      <c r="O53" s="31"/>
      <c r="P53" s="31" t="n">
        <v>0</v>
      </c>
      <c r="Q53" s="12" t="str">
        <f aca="false">IF(P53=1,SUM(F53:M53)+N53,"")</f>
        <v/>
      </c>
      <c r="R53" s="38" t="str">
        <f aca="false">IF(AND(P53=1,ISNUMBER(E53)),Q53-E53,"")</f>
        <v/>
      </c>
      <c r="S53" s="31" t="n">
        <v>0</v>
      </c>
      <c r="T53" s="27" t="s">
        <v>364</v>
      </c>
    </row>
    <row r="54" customFormat="false" ht="15" hidden="false" customHeight="false" outlineLevel="0" collapsed="false">
      <c r="A54" s="31" t="n">
        <v>2022</v>
      </c>
      <c r="B54" s="31"/>
      <c r="C54" s="27" t="s">
        <v>182</v>
      </c>
      <c r="D54" s="27" t="s">
        <v>368</v>
      </c>
      <c r="E54" s="31" t="n">
        <v>37</v>
      </c>
      <c r="F54" s="31"/>
      <c r="G54" s="31" t="n">
        <v>37</v>
      </c>
      <c r="H54" s="31"/>
      <c r="I54" s="31" t="n">
        <v>2</v>
      </c>
      <c r="J54" s="31"/>
      <c r="K54" s="31"/>
      <c r="L54" s="31"/>
      <c r="M54" s="31"/>
      <c r="N54" s="31"/>
      <c r="O54" s="31"/>
      <c r="P54" s="31" t="n">
        <v>0</v>
      </c>
      <c r="Q54" s="12" t="str">
        <f aca="false">IF(P54=1,SUM(F54:M54)+N54,"")</f>
        <v/>
      </c>
      <c r="R54" s="38" t="str">
        <f aca="false">IF(AND(P54=1,ISNUMBER(E54)),Q54-E54,"")</f>
        <v/>
      </c>
      <c r="S54" s="31" t="n">
        <v>0</v>
      </c>
      <c r="T54" s="27" t="s">
        <v>364</v>
      </c>
    </row>
    <row r="55" customFormat="false" ht="15" hidden="false" customHeight="false" outlineLevel="0" collapsed="false">
      <c r="A55" s="31" t="n">
        <v>2022</v>
      </c>
      <c r="B55" s="31"/>
      <c r="C55" s="27" t="s">
        <v>258</v>
      </c>
      <c r="D55" s="27" t="s">
        <v>368</v>
      </c>
      <c r="E55" s="31" t="n">
        <v>54.9</v>
      </c>
      <c r="F55" s="31"/>
      <c r="G55" s="31" t="n">
        <v>54.9</v>
      </c>
      <c r="H55" s="31"/>
      <c r="I55" s="31"/>
      <c r="J55" s="31"/>
      <c r="K55" s="31"/>
      <c r="L55" s="31"/>
      <c r="M55" s="31"/>
      <c r="N55" s="31"/>
      <c r="O55" s="31"/>
      <c r="P55" s="31" t="n">
        <v>0</v>
      </c>
      <c r="Q55" s="12" t="str">
        <f aca="false">IF(P55=1,SUM(F55:M55)+N55,"")</f>
        <v/>
      </c>
      <c r="R55" s="38" t="str">
        <f aca="false">IF(AND(P55=1,ISNUMBER(E55)),Q55-E55,"")</f>
        <v/>
      </c>
      <c r="S55" s="31" t="n">
        <v>0</v>
      </c>
      <c r="T55" s="27" t="s">
        <v>364</v>
      </c>
    </row>
    <row r="56" customFormat="false" ht="15" hidden="false" customHeight="false" outlineLevel="0" collapsed="false">
      <c r="A56" s="31" t="n">
        <v>2022</v>
      </c>
      <c r="B56" s="31"/>
      <c r="C56" s="27" t="s">
        <v>331</v>
      </c>
      <c r="D56" s="27" t="s">
        <v>368</v>
      </c>
      <c r="E56" s="31" t="n">
        <v>65.9</v>
      </c>
      <c r="F56" s="31"/>
      <c r="G56" s="31" t="n">
        <v>65.9</v>
      </c>
      <c r="H56" s="31"/>
      <c r="I56" s="31"/>
      <c r="J56" s="31"/>
      <c r="K56" s="31"/>
      <c r="L56" s="31"/>
      <c r="M56" s="31"/>
      <c r="N56" s="31"/>
      <c r="O56" s="31"/>
      <c r="P56" s="31" t="n">
        <v>0</v>
      </c>
      <c r="Q56" s="12" t="str">
        <f aca="false">IF(P56=1,SUM(F56:M56)+N56,"")</f>
        <v/>
      </c>
      <c r="R56" s="38" t="str">
        <f aca="false">IF(AND(P56=1,ISNUMBER(E56)),Q56-E56,"")</f>
        <v/>
      </c>
      <c r="S56" s="31" t="n">
        <v>0</v>
      </c>
      <c r="T56" s="27" t="s">
        <v>364</v>
      </c>
    </row>
    <row r="57" customFormat="false" ht="15" hidden="false" customHeight="false" outlineLevel="0" collapsed="false">
      <c r="A57" s="31" t="n">
        <v>2022</v>
      </c>
      <c r="B57" s="31"/>
      <c r="C57" s="27" t="s">
        <v>185</v>
      </c>
      <c r="D57" s="27" t="s">
        <v>368</v>
      </c>
      <c r="E57" s="31" t="n">
        <v>68</v>
      </c>
      <c r="F57" s="31"/>
      <c r="G57" s="31" t="n">
        <v>68</v>
      </c>
      <c r="H57" s="31"/>
      <c r="I57" s="31"/>
      <c r="J57" s="31"/>
      <c r="K57" s="31"/>
      <c r="L57" s="31"/>
      <c r="M57" s="31"/>
      <c r="N57" s="31"/>
      <c r="O57" s="31"/>
      <c r="P57" s="31" t="n">
        <v>0</v>
      </c>
      <c r="Q57" s="12" t="str">
        <f aca="false">IF(P57=1,SUM(F57:M57)+N57,"")</f>
        <v/>
      </c>
      <c r="R57" s="38" t="str">
        <f aca="false">IF(AND(P57=1,ISNUMBER(E57)),Q57-E57,"")</f>
        <v/>
      </c>
      <c r="S57" s="31" t="n">
        <v>0</v>
      </c>
      <c r="T57" s="27" t="s">
        <v>364</v>
      </c>
    </row>
    <row r="58" customFormat="false" ht="15" hidden="false" customHeight="false" outlineLevel="0" collapsed="false">
      <c r="A58" s="31" t="n">
        <v>2022</v>
      </c>
      <c r="B58" s="31"/>
      <c r="C58" s="27" t="s">
        <v>327</v>
      </c>
      <c r="D58" s="27" t="s">
        <v>368</v>
      </c>
      <c r="E58" s="31" t="n">
        <v>45.4</v>
      </c>
      <c r="F58" s="31"/>
      <c r="G58" s="31" t="n">
        <v>45.4</v>
      </c>
      <c r="H58" s="31"/>
      <c r="I58" s="31"/>
      <c r="J58" s="31"/>
      <c r="K58" s="31"/>
      <c r="L58" s="31"/>
      <c r="M58" s="31"/>
      <c r="N58" s="31"/>
      <c r="O58" s="31"/>
      <c r="P58" s="31" t="n">
        <v>0</v>
      </c>
      <c r="Q58" s="12" t="str">
        <f aca="false">IF(P58=1,SUM(F58:M58)+N58,"")</f>
        <v/>
      </c>
      <c r="R58" s="38" t="str">
        <f aca="false">IF(AND(P58=1,ISNUMBER(E58)),Q58-E58,"")</f>
        <v/>
      </c>
      <c r="S58" s="31" t="n">
        <v>0</v>
      </c>
      <c r="T58" s="27" t="s">
        <v>364</v>
      </c>
    </row>
    <row r="59" customFormat="false" ht="15" hidden="false" customHeight="false" outlineLevel="0" collapsed="false">
      <c r="A59" s="31" t="n">
        <v>2022</v>
      </c>
      <c r="B59" s="31"/>
      <c r="C59" s="27" t="s">
        <v>204</v>
      </c>
      <c r="D59" s="27" t="s">
        <v>368</v>
      </c>
      <c r="E59" s="31" t="n">
        <v>53</v>
      </c>
      <c r="F59" s="31"/>
      <c r="G59" s="31" t="n">
        <v>52.9</v>
      </c>
      <c r="H59" s="31"/>
      <c r="I59" s="31"/>
      <c r="J59" s="31"/>
      <c r="K59" s="31"/>
      <c r="L59" s="31"/>
      <c r="M59" s="31"/>
      <c r="N59" s="31"/>
      <c r="O59" s="31"/>
      <c r="P59" s="31" t="n">
        <v>0</v>
      </c>
      <c r="Q59" s="12" t="str">
        <f aca="false">IF(P59=1,SUM(F59:M59)+N59,"")</f>
        <v/>
      </c>
      <c r="R59" s="38" t="str">
        <f aca="false">IF(AND(P59=1,ISNUMBER(E59)),Q59-E59,"")</f>
        <v/>
      </c>
      <c r="S59" s="31" t="n">
        <v>0</v>
      </c>
      <c r="T59" s="27" t="s">
        <v>364</v>
      </c>
    </row>
    <row r="60" customFormat="false" ht="15" hidden="false" customHeight="false" outlineLevel="0" collapsed="false">
      <c r="A60" s="31" t="n">
        <v>2022</v>
      </c>
      <c r="B60" s="31"/>
      <c r="C60" s="27" t="s">
        <v>371</v>
      </c>
      <c r="D60" s="27" t="s">
        <v>372</v>
      </c>
      <c r="E60" s="31"/>
      <c r="F60" s="31"/>
      <c r="G60" s="31"/>
      <c r="H60" s="31"/>
      <c r="I60" s="31"/>
      <c r="J60" s="31"/>
      <c r="K60" s="31"/>
      <c r="L60" s="31"/>
      <c r="M60" s="31"/>
      <c r="N60" s="31"/>
      <c r="O60" s="31"/>
      <c r="P60" s="31" t="n">
        <v>0</v>
      </c>
      <c r="Q60" s="12" t="str">
        <f aca="false">IF(P60=1,SUM(F60:M60)+N60,"")</f>
        <v/>
      </c>
      <c r="R60" s="38" t="str">
        <f aca="false">IF(AND(P60=1,ISNUMBER(E60)),Q60-E60,"")</f>
        <v/>
      </c>
      <c r="S60" s="31" t="n">
        <v>0</v>
      </c>
      <c r="T60" s="27" t="s">
        <v>364</v>
      </c>
    </row>
    <row r="61" customFormat="false" ht="15" hidden="false" customHeight="false" outlineLevel="0" collapsed="false">
      <c r="A61" s="31" t="n">
        <v>2022</v>
      </c>
      <c r="B61" s="31"/>
      <c r="C61" s="27" t="s">
        <v>373</v>
      </c>
      <c r="D61" s="27" t="s">
        <v>368</v>
      </c>
      <c r="E61" s="31" t="n">
        <v>52.9</v>
      </c>
      <c r="F61" s="31"/>
      <c r="G61" s="31" t="n">
        <v>52.9</v>
      </c>
      <c r="H61" s="31"/>
      <c r="I61" s="31"/>
      <c r="J61" s="31"/>
      <c r="K61" s="31"/>
      <c r="L61" s="31"/>
      <c r="M61" s="31"/>
      <c r="N61" s="31"/>
      <c r="O61" s="31"/>
      <c r="P61" s="31" t="n">
        <v>0</v>
      </c>
      <c r="Q61" s="12" t="str">
        <f aca="false">IF(P61=1,SUM(F61:M61)+N61,"")</f>
        <v/>
      </c>
      <c r="R61" s="38" t="str">
        <f aca="false">IF(AND(P61=1,ISNUMBER(E61)),Q61-E61,"")</f>
        <v/>
      </c>
      <c r="S61" s="31" t="n">
        <v>0</v>
      </c>
      <c r="T61" s="27" t="s">
        <v>364</v>
      </c>
    </row>
    <row r="62" customFormat="false" ht="15" hidden="false" customHeight="false" outlineLevel="0" collapsed="false">
      <c r="A62" s="31" t="n">
        <v>2023</v>
      </c>
      <c r="B62" s="31" t="n">
        <v>1</v>
      </c>
      <c r="C62" s="27" t="s">
        <v>34</v>
      </c>
      <c r="D62" s="27" t="s">
        <v>363</v>
      </c>
      <c r="E62" s="31" t="n">
        <v>919.1</v>
      </c>
      <c r="F62" s="31" t="n">
        <v>86.45</v>
      </c>
      <c r="G62" s="31" t="n">
        <v>47.5</v>
      </c>
      <c r="H62" s="31" t="n">
        <v>147</v>
      </c>
      <c r="I62" s="31" t="n">
        <v>87.01</v>
      </c>
      <c r="J62" s="31" t="n">
        <v>61.26</v>
      </c>
      <c r="K62" s="31" t="n">
        <v>125</v>
      </c>
      <c r="L62" s="31" t="n">
        <v>275</v>
      </c>
      <c r="M62" s="31" t="n">
        <v>89.9</v>
      </c>
      <c r="N62" s="31"/>
      <c r="O62" s="31"/>
      <c r="P62" s="31" t="n">
        <v>1</v>
      </c>
      <c r="Q62" s="12" t="n">
        <f aca="false">IF(P62=1,SUM(F62:M62)+N62,"")</f>
        <v>919.12</v>
      </c>
      <c r="R62" s="38" t="n">
        <f aca="false">IF(AND(P62=1,ISNUMBER(E62)),Q62-E62,"")</f>
        <v>0.0199999999999818</v>
      </c>
      <c r="S62" s="31" t="n">
        <v>0</v>
      </c>
      <c r="T62" s="27" t="s">
        <v>364</v>
      </c>
    </row>
    <row r="63" customFormat="false" ht="15" hidden="false" customHeight="false" outlineLevel="0" collapsed="false">
      <c r="A63" s="16" t="n">
        <v>2023</v>
      </c>
      <c r="B63" s="16" t="n">
        <v>2</v>
      </c>
      <c r="C63" s="36" t="s">
        <v>148</v>
      </c>
      <c r="D63" s="36" t="s">
        <v>363</v>
      </c>
      <c r="E63" s="16" t="n">
        <v>762.4</v>
      </c>
      <c r="F63" s="16" t="n">
        <v>77.4</v>
      </c>
      <c r="G63" s="16" t="n">
        <v>49.5</v>
      </c>
      <c r="H63" s="16" t="n">
        <v>113</v>
      </c>
      <c r="I63" s="16" t="n">
        <v>66.29</v>
      </c>
      <c r="J63" s="16" t="n">
        <v>47.18</v>
      </c>
      <c r="K63" s="16" t="n">
        <v>91.05</v>
      </c>
      <c r="L63" s="16" t="n">
        <v>226.6</v>
      </c>
      <c r="M63" s="16" t="n">
        <v>91.4</v>
      </c>
      <c r="N63" s="16"/>
      <c r="O63" s="16"/>
      <c r="P63" s="16" t="n">
        <v>1</v>
      </c>
      <c r="Q63" s="19" t="n">
        <f aca="false">IF(P63=1,SUM(F63:M63)+N63,"")</f>
        <v>762.42</v>
      </c>
      <c r="R63" s="39" t="n">
        <f aca="false">IF(AND(P63=1,ISNUMBER(E63)),Q63-E63,"")</f>
        <v>0.0199999999999818</v>
      </c>
      <c r="S63" s="45" t="n">
        <v>1</v>
      </c>
      <c r="T63" s="46" t="s">
        <v>364</v>
      </c>
    </row>
    <row r="64" customFormat="false" ht="15" hidden="false" customHeight="false" outlineLevel="0" collapsed="false">
      <c r="A64" s="31" t="n">
        <v>2023</v>
      </c>
      <c r="B64" s="31" t="n">
        <v>3</v>
      </c>
      <c r="C64" s="27" t="s">
        <v>151</v>
      </c>
      <c r="D64" s="27" t="s">
        <v>363</v>
      </c>
      <c r="E64" s="31" t="n">
        <v>734.4</v>
      </c>
      <c r="F64" s="31" t="n">
        <v>66</v>
      </c>
      <c r="G64" s="31" t="n">
        <v>74.7</v>
      </c>
      <c r="H64" s="31" t="n">
        <v>125</v>
      </c>
      <c r="I64" s="31" t="n">
        <v>67.92</v>
      </c>
      <c r="J64" s="31" t="n">
        <v>44.78</v>
      </c>
      <c r="K64" s="31" t="n">
        <v>107.81</v>
      </c>
      <c r="L64" s="31" t="n">
        <v>248.2</v>
      </c>
      <c r="M64" s="31"/>
      <c r="N64" s="31"/>
      <c r="O64" s="31"/>
      <c r="P64" s="31" t="n">
        <v>1</v>
      </c>
      <c r="Q64" s="12" t="n">
        <f aca="false">IF(P64=1,SUM(F64:M64)+N64,"")</f>
        <v>734.41</v>
      </c>
      <c r="R64" s="38" t="n">
        <f aca="false">IF(AND(P64=1,ISNUMBER(E64)),Q64-E64,"")</f>
        <v>0.00999999999999091</v>
      </c>
      <c r="S64" s="31" t="n">
        <v>0</v>
      </c>
      <c r="T64" s="27" t="s">
        <v>364</v>
      </c>
    </row>
    <row r="65" customFormat="false" ht="15" hidden="false" customHeight="false" outlineLevel="0" collapsed="false">
      <c r="A65" s="31" t="n">
        <v>2023</v>
      </c>
      <c r="B65" s="31" t="n">
        <v>4</v>
      </c>
      <c r="C65" s="27" t="s">
        <v>35</v>
      </c>
      <c r="D65" s="27" t="s">
        <v>363</v>
      </c>
      <c r="E65" s="31" t="n">
        <v>728.3</v>
      </c>
      <c r="F65" s="31" t="n">
        <v>76.09</v>
      </c>
      <c r="G65" s="31" t="n">
        <v>36.6</v>
      </c>
      <c r="H65" s="31" t="n">
        <v>118</v>
      </c>
      <c r="I65" s="31" t="n">
        <v>62.76</v>
      </c>
      <c r="J65" s="31" t="n">
        <v>44.01</v>
      </c>
      <c r="K65" s="31" t="n">
        <v>91.17</v>
      </c>
      <c r="L65" s="31" t="n">
        <v>211.4</v>
      </c>
      <c r="M65" s="31" t="n">
        <v>88.2</v>
      </c>
      <c r="N65" s="31"/>
      <c r="O65" s="31"/>
      <c r="P65" s="31" t="n">
        <v>1</v>
      </c>
      <c r="Q65" s="12" t="n">
        <f aca="false">IF(P65=1,SUM(F65:M65)+N65,"")</f>
        <v>728.23</v>
      </c>
      <c r="R65" s="38" t="n">
        <f aca="false">IF(AND(P65=1,ISNUMBER(E65)),Q65-E65,"")</f>
        <v>-0.0699999999999363</v>
      </c>
      <c r="S65" s="31" t="n">
        <v>0</v>
      </c>
      <c r="T65" s="27" t="s">
        <v>364</v>
      </c>
    </row>
    <row r="66" customFormat="false" ht="15" hidden="false" customHeight="false" outlineLevel="0" collapsed="false">
      <c r="A66" s="31" t="n">
        <v>2023</v>
      </c>
      <c r="B66" s="31" t="n">
        <v>5</v>
      </c>
      <c r="C66" s="27" t="s">
        <v>154</v>
      </c>
      <c r="D66" s="27" t="s">
        <v>363</v>
      </c>
      <c r="E66" s="31" t="n">
        <v>716.5</v>
      </c>
      <c r="F66" s="31" t="n">
        <v>79.9</v>
      </c>
      <c r="G66" s="31" t="n">
        <v>70.2</v>
      </c>
      <c r="H66" s="31" t="n">
        <v>90</v>
      </c>
      <c r="I66" s="31" t="n">
        <v>55.63</v>
      </c>
      <c r="J66" s="31" t="n">
        <v>42.87</v>
      </c>
      <c r="K66" s="31" t="n">
        <v>83.67</v>
      </c>
      <c r="L66" s="31" t="n">
        <v>201</v>
      </c>
      <c r="M66" s="31" t="n">
        <v>93.2</v>
      </c>
      <c r="N66" s="31"/>
      <c r="O66" s="31"/>
      <c r="P66" s="31" t="n">
        <v>1</v>
      </c>
      <c r="Q66" s="12" t="n">
        <f aca="false">IF(P66=1,SUM(F66:M66)+N66,"")</f>
        <v>716.47</v>
      </c>
      <c r="R66" s="38" t="n">
        <f aca="false">IF(AND(P66=1,ISNUMBER(E66)),Q66-E66,"")</f>
        <v>-0.0299999999999727</v>
      </c>
      <c r="S66" s="31" t="n">
        <v>0</v>
      </c>
      <c r="T66" s="27" t="s">
        <v>364</v>
      </c>
    </row>
    <row r="67" customFormat="false" ht="15" hidden="false" customHeight="false" outlineLevel="0" collapsed="false">
      <c r="A67" s="31" t="n">
        <v>2023</v>
      </c>
      <c r="B67" s="31" t="n">
        <v>6</v>
      </c>
      <c r="C67" s="27" t="s">
        <v>157</v>
      </c>
      <c r="D67" s="27" t="s">
        <v>363</v>
      </c>
      <c r="E67" s="31" t="n">
        <v>622.4</v>
      </c>
      <c r="F67" s="31" t="n">
        <v>99</v>
      </c>
      <c r="G67" s="31" t="n">
        <v>73.5</v>
      </c>
      <c r="H67" s="31" t="n">
        <v>70</v>
      </c>
      <c r="I67" s="31"/>
      <c r="J67" s="31" t="n">
        <v>20.87</v>
      </c>
      <c r="K67" s="31" t="n">
        <v>79.22</v>
      </c>
      <c r="L67" s="31" t="n">
        <v>190.8</v>
      </c>
      <c r="M67" s="31" t="n">
        <v>89</v>
      </c>
      <c r="N67" s="31"/>
      <c r="O67" s="31"/>
      <c r="P67" s="31" t="n">
        <v>1</v>
      </c>
      <c r="Q67" s="12" t="n">
        <f aca="false">IF(P67=1,SUM(F67:M67)+N67,"")</f>
        <v>622.39</v>
      </c>
      <c r="R67" s="38" t="n">
        <f aca="false">IF(AND(P67=1,ISNUMBER(E67)),Q67-E67,"")</f>
        <v>-0.00999999999999091</v>
      </c>
      <c r="S67" s="31" t="n">
        <v>0</v>
      </c>
      <c r="T67" s="27" t="s">
        <v>364</v>
      </c>
    </row>
    <row r="68" customFormat="false" ht="15" hidden="false" customHeight="false" outlineLevel="0" collapsed="false">
      <c r="A68" s="31" t="n">
        <v>2023</v>
      </c>
      <c r="B68" s="31" t="n">
        <v>7</v>
      </c>
      <c r="C68" s="27" t="s">
        <v>160</v>
      </c>
      <c r="D68" s="27" t="s">
        <v>363</v>
      </c>
      <c r="E68" s="31" t="n">
        <v>611.2</v>
      </c>
      <c r="F68" s="31" t="n">
        <v>89.16</v>
      </c>
      <c r="G68" s="31" t="n">
        <v>40.4</v>
      </c>
      <c r="H68" s="31" t="n">
        <v>80</v>
      </c>
      <c r="I68" s="31" t="n">
        <v>21.56</v>
      </c>
      <c r="J68" s="31" t="n">
        <v>3.5</v>
      </c>
      <c r="K68" s="31" t="n">
        <v>71.65</v>
      </c>
      <c r="L68" s="31" t="n">
        <v>211.6</v>
      </c>
      <c r="M68" s="31" t="n">
        <v>93.3</v>
      </c>
      <c r="N68" s="31"/>
      <c r="O68" s="31"/>
      <c r="P68" s="31" t="n">
        <v>1</v>
      </c>
      <c r="Q68" s="12" t="n">
        <f aca="false">IF(P68=1,SUM(F68:M68)+N68,"")</f>
        <v>611.17</v>
      </c>
      <c r="R68" s="38" t="n">
        <f aca="false">IF(AND(P68=1,ISNUMBER(E68)),Q68-E68,"")</f>
        <v>-0.0300000000000864</v>
      </c>
      <c r="S68" s="31" t="n">
        <v>0</v>
      </c>
      <c r="T68" s="27" t="s">
        <v>364</v>
      </c>
    </row>
    <row r="69" customFormat="false" ht="15" hidden="false" customHeight="false" outlineLevel="0" collapsed="false">
      <c r="A69" s="31" t="n">
        <v>2023</v>
      </c>
      <c r="B69" s="31" t="n">
        <v>8</v>
      </c>
      <c r="C69" s="27" t="s">
        <v>164</v>
      </c>
      <c r="D69" s="27" t="s">
        <v>363</v>
      </c>
      <c r="E69" s="31" t="n">
        <v>588.4</v>
      </c>
      <c r="F69" s="31" t="n">
        <v>35.2</v>
      </c>
      <c r="G69" s="31" t="n">
        <v>45.7</v>
      </c>
      <c r="H69" s="31" t="n">
        <v>90</v>
      </c>
      <c r="I69" s="31" t="n">
        <v>41.37</v>
      </c>
      <c r="J69" s="31" t="n">
        <v>12.7</v>
      </c>
      <c r="K69" s="31" t="n">
        <v>69.34</v>
      </c>
      <c r="L69" s="31" t="n">
        <v>205.2</v>
      </c>
      <c r="M69" s="31" t="n">
        <v>88.9</v>
      </c>
      <c r="N69" s="31"/>
      <c r="O69" s="31"/>
      <c r="P69" s="31" t="n">
        <v>1</v>
      </c>
      <c r="Q69" s="12" t="n">
        <f aca="false">IF(P69=1,SUM(F69:M69)+N69,"")</f>
        <v>588.41</v>
      </c>
      <c r="R69" s="38" t="n">
        <f aca="false">IF(AND(P69=1,ISNUMBER(E69)),Q69-E69,"")</f>
        <v>0.00999999999999091</v>
      </c>
      <c r="S69" s="31" t="n">
        <v>0</v>
      </c>
      <c r="T69" s="27" t="s">
        <v>364</v>
      </c>
    </row>
    <row r="70" customFormat="false" ht="15" hidden="false" customHeight="false" outlineLevel="0" collapsed="false">
      <c r="A70" s="31" t="n">
        <v>2023</v>
      </c>
      <c r="B70" s="31" t="n">
        <v>9</v>
      </c>
      <c r="C70" s="27" t="s">
        <v>167</v>
      </c>
      <c r="D70" s="27" t="s">
        <v>363</v>
      </c>
      <c r="E70" s="31" t="n">
        <v>575.8</v>
      </c>
      <c r="F70" s="31" t="n">
        <v>65.56</v>
      </c>
      <c r="G70" s="31" t="n">
        <v>27.8</v>
      </c>
      <c r="H70" s="31" t="n">
        <v>90</v>
      </c>
      <c r="I70" s="31"/>
      <c r="J70" s="31" t="n">
        <v>40.06</v>
      </c>
      <c r="K70" s="31" t="n">
        <v>105.25</v>
      </c>
      <c r="L70" s="31" t="n">
        <v>147.2</v>
      </c>
      <c r="M70" s="31" t="n">
        <v>100</v>
      </c>
      <c r="N70" s="31"/>
      <c r="O70" s="31"/>
      <c r="P70" s="31" t="n">
        <v>1</v>
      </c>
      <c r="Q70" s="12" t="n">
        <f aca="false">IF(P70=1,SUM(F70:M70)+N70,"")</f>
        <v>575.87</v>
      </c>
      <c r="R70" s="38" t="n">
        <f aca="false">IF(AND(P70=1,ISNUMBER(E70)),Q70-E70,"")</f>
        <v>0.07000000000005</v>
      </c>
      <c r="S70" s="31" t="n">
        <v>0</v>
      </c>
      <c r="T70" s="27" t="s">
        <v>364</v>
      </c>
    </row>
    <row r="71" customFormat="false" ht="15" hidden="false" customHeight="false" outlineLevel="0" collapsed="false">
      <c r="A71" s="31" t="n">
        <v>2023</v>
      </c>
      <c r="B71" s="31" t="n">
        <v>10</v>
      </c>
      <c r="C71" s="27" t="s">
        <v>150</v>
      </c>
      <c r="D71" s="27" t="s">
        <v>363</v>
      </c>
      <c r="E71" s="31" t="n">
        <v>545.1</v>
      </c>
      <c r="F71" s="31" t="n">
        <v>81.59</v>
      </c>
      <c r="G71" s="31" t="n">
        <v>54.7</v>
      </c>
      <c r="H71" s="31" t="n">
        <v>125</v>
      </c>
      <c r="I71" s="31" t="n">
        <v>100</v>
      </c>
      <c r="J71" s="31" t="n">
        <v>75</v>
      </c>
      <c r="K71" s="31" t="n">
        <v>108.74</v>
      </c>
      <c r="L71" s="31"/>
      <c r="M71" s="31"/>
      <c r="N71" s="31"/>
      <c r="O71" s="31"/>
      <c r="P71" s="31" t="n">
        <v>1</v>
      </c>
      <c r="Q71" s="12" t="n">
        <f aca="false">IF(P71=1,SUM(F71:M71)+N71,"")</f>
        <v>545.03</v>
      </c>
      <c r="R71" s="38" t="n">
        <f aca="false">IF(AND(P71=1,ISNUMBER(E71)),Q71-E71,"")</f>
        <v>-0.07000000000005</v>
      </c>
      <c r="S71" s="31" t="n">
        <v>0</v>
      </c>
      <c r="T71" s="27" t="s">
        <v>364</v>
      </c>
    </row>
    <row r="72" customFormat="false" ht="15" hidden="false" customHeight="false" outlineLevel="0" collapsed="false">
      <c r="A72" s="31" t="n">
        <v>2023</v>
      </c>
      <c r="B72" s="31" t="n">
        <v>11</v>
      </c>
      <c r="C72" s="27" t="s">
        <v>33</v>
      </c>
      <c r="D72" s="27" t="s">
        <v>363</v>
      </c>
      <c r="E72" s="31" t="n">
        <v>494.7</v>
      </c>
      <c r="F72" s="31" t="n">
        <v>89.95</v>
      </c>
      <c r="G72" s="31" t="n">
        <v>59.8</v>
      </c>
      <c r="H72" s="31" t="n">
        <v>135</v>
      </c>
      <c r="I72" s="31" t="n">
        <v>60.54</v>
      </c>
      <c r="J72" s="31" t="n">
        <v>37.02</v>
      </c>
      <c r="K72" s="31" t="n">
        <v>106.45</v>
      </c>
      <c r="L72" s="31" t="n">
        <v>6</v>
      </c>
      <c r="M72" s="31"/>
      <c r="N72" s="31"/>
      <c r="O72" s="31"/>
      <c r="P72" s="31" t="n">
        <v>1</v>
      </c>
      <c r="Q72" s="12" t="n">
        <f aca="false">IF(P72=1,SUM(F72:M72)+N72,"")</f>
        <v>494.76</v>
      </c>
      <c r="R72" s="38" t="n">
        <f aca="false">IF(AND(P72=1,ISNUMBER(E72)),Q72-E72,"")</f>
        <v>0.0600000000000023</v>
      </c>
      <c r="S72" s="31" t="n">
        <v>0</v>
      </c>
      <c r="T72" s="27" t="s">
        <v>364</v>
      </c>
    </row>
    <row r="73" customFormat="false" ht="15" hidden="false" customHeight="false" outlineLevel="0" collapsed="false">
      <c r="A73" s="31" t="n">
        <v>2023</v>
      </c>
      <c r="B73" s="31" t="n">
        <v>12</v>
      </c>
      <c r="C73" s="27" t="s">
        <v>158</v>
      </c>
      <c r="D73" s="27" t="s">
        <v>363</v>
      </c>
      <c r="E73" s="31" t="n">
        <v>491.8</v>
      </c>
      <c r="F73" s="31" t="n">
        <v>70.63</v>
      </c>
      <c r="G73" s="31" t="n">
        <v>46</v>
      </c>
      <c r="H73" s="31" t="n">
        <v>110</v>
      </c>
      <c r="I73" s="31" t="n">
        <v>48.3</v>
      </c>
      <c r="J73" s="31" t="n">
        <v>37.2</v>
      </c>
      <c r="K73" s="31" t="n">
        <v>68.62</v>
      </c>
      <c r="L73" s="31" t="n">
        <v>21</v>
      </c>
      <c r="M73" s="31" t="n">
        <v>90.1</v>
      </c>
      <c r="N73" s="31"/>
      <c r="O73" s="31"/>
      <c r="P73" s="31" t="n">
        <v>1</v>
      </c>
      <c r="Q73" s="12" t="n">
        <f aca="false">IF(P73=1,SUM(F73:M73)+N73,"")</f>
        <v>491.85</v>
      </c>
      <c r="R73" s="38" t="n">
        <f aca="false">IF(AND(P73=1,ISNUMBER(E73)),Q73-E73,"")</f>
        <v>0.0500000000000114</v>
      </c>
      <c r="S73" s="31" t="n">
        <v>0</v>
      </c>
      <c r="T73" s="27" t="s">
        <v>364</v>
      </c>
    </row>
    <row r="74" customFormat="false" ht="15" hidden="false" customHeight="false" outlineLevel="0" collapsed="false">
      <c r="A74" s="31" t="n">
        <v>2023</v>
      </c>
      <c r="B74" s="31" t="n">
        <v>13</v>
      </c>
      <c r="C74" s="27" t="s">
        <v>152</v>
      </c>
      <c r="D74" s="27" t="s">
        <v>363</v>
      </c>
      <c r="E74" s="31" t="n">
        <v>420.1</v>
      </c>
      <c r="F74" s="31" t="n">
        <v>67.29</v>
      </c>
      <c r="G74" s="31" t="n">
        <v>48.1</v>
      </c>
      <c r="H74" s="31" t="n">
        <v>100</v>
      </c>
      <c r="I74" s="31" t="n">
        <v>43.9</v>
      </c>
      <c r="J74" s="31" t="n">
        <v>31.2</v>
      </c>
      <c r="K74" s="31" t="n">
        <v>62.04</v>
      </c>
      <c r="L74" s="31" t="n">
        <v>17</v>
      </c>
      <c r="M74" s="31" t="n">
        <v>90.5</v>
      </c>
      <c r="N74" s="31" t="n">
        <v>-40</v>
      </c>
      <c r="O74" s="31"/>
      <c r="P74" s="31" t="n">
        <v>1</v>
      </c>
      <c r="Q74" s="12" t="n">
        <f aca="false">IF(P74=1,SUM(F74:M74)+N74,"")</f>
        <v>420.03</v>
      </c>
      <c r="R74" s="38" t="n">
        <f aca="false">IF(AND(P74=1,ISNUMBER(E74)),Q74-E74,"")</f>
        <v>-0.0699999999999932</v>
      </c>
      <c r="S74" s="31" t="n">
        <v>0</v>
      </c>
      <c r="T74" s="27" t="s">
        <v>364</v>
      </c>
    </row>
    <row r="75" customFormat="false" ht="15" hidden="false" customHeight="false" outlineLevel="0" collapsed="false">
      <c r="A75" s="31" t="n">
        <v>2023</v>
      </c>
      <c r="B75" s="31" t="n">
        <v>14</v>
      </c>
      <c r="C75" s="27" t="s">
        <v>324</v>
      </c>
      <c r="D75" s="27" t="s">
        <v>363</v>
      </c>
      <c r="E75" s="31" t="n">
        <v>408.4</v>
      </c>
      <c r="F75" s="31" t="n">
        <v>82.28</v>
      </c>
      <c r="G75" s="31" t="n">
        <v>42.9</v>
      </c>
      <c r="H75" s="31" t="n">
        <v>80</v>
      </c>
      <c r="I75" s="31" t="n">
        <v>5.96</v>
      </c>
      <c r="J75" s="31" t="n">
        <v>3.5</v>
      </c>
      <c r="K75" s="31" t="n">
        <v>7.04</v>
      </c>
      <c r="L75" s="31" t="n">
        <v>96.6</v>
      </c>
      <c r="M75" s="31" t="n">
        <v>90.1</v>
      </c>
      <c r="N75" s="31"/>
      <c r="O75" s="31"/>
      <c r="P75" s="31" t="n">
        <v>1</v>
      </c>
      <c r="Q75" s="12" t="n">
        <f aca="false">IF(P75=1,SUM(F75:M75)+N75,"")</f>
        <v>408.38</v>
      </c>
      <c r="R75" s="38" t="n">
        <f aca="false">IF(AND(P75=1,ISNUMBER(E75)),Q75-E75,"")</f>
        <v>-0.0199999999999818</v>
      </c>
      <c r="S75" s="31" t="n">
        <v>0</v>
      </c>
      <c r="T75" s="27" t="s">
        <v>364</v>
      </c>
    </row>
    <row r="76" customFormat="false" ht="15" hidden="false" customHeight="false" outlineLevel="0" collapsed="false">
      <c r="A76" s="31" t="n">
        <v>2023</v>
      </c>
      <c r="B76" s="31" t="n">
        <v>15</v>
      </c>
      <c r="C76" s="27" t="s">
        <v>36</v>
      </c>
      <c r="D76" s="27" t="s">
        <v>363</v>
      </c>
      <c r="E76" s="31" t="n">
        <v>362.8</v>
      </c>
      <c r="F76" s="31" t="n">
        <v>59</v>
      </c>
      <c r="G76" s="31" t="n">
        <v>66.9</v>
      </c>
      <c r="H76" s="31" t="n">
        <v>110</v>
      </c>
      <c r="I76" s="31" t="n">
        <v>4.5</v>
      </c>
      <c r="J76" s="31"/>
      <c r="K76" s="31"/>
      <c r="L76" s="31" t="n">
        <v>55.5</v>
      </c>
      <c r="M76" s="31" t="n">
        <v>86.9</v>
      </c>
      <c r="N76" s="31" t="n">
        <v>-20</v>
      </c>
      <c r="O76" s="31"/>
      <c r="P76" s="31" t="n">
        <v>1</v>
      </c>
      <c r="Q76" s="12" t="n">
        <f aca="false">IF(P76=1,SUM(F76:M76)+N76,"")</f>
        <v>362.8</v>
      </c>
      <c r="R76" s="38" t="n">
        <f aca="false">IF(AND(P76=1,ISNUMBER(E76)),Q76-E76,"")</f>
        <v>0</v>
      </c>
      <c r="S76" s="31" t="n">
        <v>0</v>
      </c>
      <c r="T76" s="27" t="s">
        <v>364</v>
      </c>
    </row>
    <row r="77" customFormat="false" ht="15" hidden="false" customHeight="false" outlineLevel="0" collapsed="false">
      <c r="A77" s="31" t="n">
        <v>2023</v>
      </c>
      <c r="B77" s="31" t="n">
        <v>16</v>
      </c>
      <c r="C77" s="27" t="s">
        <v>166</v>
      </c>
      <c r="D77" s="27" t="s">
        <v>363</v>
      </c>
      <c r="E77" s="31" t="n">
        <v>360.3</v>
      </c>
      <c r="F77" s="31" t="n">
        <v>74.81</v>
      </c>
      <c r="G77" s="31" t="n">
        <v>50.1</v>
      </c>
      <c r="H77" s="31" t="n">
        <v>90</v>
      </c>
      <c r="I77" s="31"/>
      <c r="J77" s="31" t="n">
        <v>44.78</v>
      </c>
      <c r="K77" s="31" t="n">
        <v>91.59</v>
      </c>
      <c r="L77" s="31" t="n">
        <v>9</v>
      </c>
      <c r="M77" s="31"/>
      <c r="N77" s="31"/>
      <c r="O77" s="31"/>
      <c r="P77" s="31" t="n">
        <v>1</v>
      </c>
      <c r="Q77" s="12" t="n">
        <f aca="false">IF(P77=1,SUM(F77:M77)+N77,"")</f>
        <v>360.28</v>
      </c>
      <c r="R77" s="38" t="n">
        <f aca="false">IF(AND(P77=1,ISNUMBER(E77)),Q77-E77,"")</f>
        <v>-0.0199999999999818</v>
      </c>
      <c r="S77" s="31" t="n">
        <v>0</v>
      </c>
      <c r="T77" s="27" t="s">
        <v>364</v>
      </c>
    </row>
    <row r="78" customFormat="false" ht="15" hidden="false" customHeight="false" outlineLevel="0" collapsed="false">
      <c r="A78" s="31" t="n">
        <v>2023</v>
      </c>
      <c r="B78" s="31" t="n">
        <v>17</v>
      </c>
      <c r="C78" s="27" t="s">
        <v>169</v>
      </c>
      <c r="D78" s="27" t="s">
        <v>363</v>
      </c>
      <c r="E78" s="31" t="n">
        <v>340.9</v>
      </c>
      <c r="F78" s="31" t="n">
        <v>80.64</v>
      </c>
      <c r="G78" s="31" t="n">
        <v>32.2</v>
      </c>
      <c r="H78" s="31" t="n">
        <v>150</v>
      </c>
      <c r="I78" s="31"/>
      <c r="J78" s="31" t="n">
        <v>38.65</v>
      </c>
      <c r="K78" s="31" t="n">
        <v>79.38</v>
      </c>
      <c r="L78" s="31"/>
      <c r="M78" s="31"/>
      <c r="N78" s="31" t="n">
        <v>-40</v>
      </c>
      <c r="O78" s="31"/>
      <c r="P78" s="31" t="n">
        <v>1</v>
      </c>
      <c r="Q78" s="12" t="n">
        <f aca="false">IF(P78=1,SUM(F78:M78)+N78,"")</f>
        <v>340.87</v>
      </c>
      <c r="R78" s="38" t="n">
        <f aca="false">IF(AND(P78=1,ISNUMBER(E78)),Q78-E78,"")</f>
        <v>-0.0299999999999727</v>
      </c>
      <c r="S78" s="31" t="n">
        <v>0</v>
      </c>
      <c r="T78" s="27" t="s">
        <v>364</v>
      </c>
    </row>
    <row r="79" customFormat="false" ht="15" hidden="false" customHeight="false" outlineLevel="0" collapsed="false">
      <c r="A79" s="31" t="n">
        <v>2023</v>
      </c>
      <c r="B79" s="31" t="n">
        <v>18</v>
      </c>
      <c r="C79" s="27" t="s">
        <v>162</v>
      </c>
      <c r="D79" s="27" t="s">
        <v>363</v>
      </c>
      <c r="E79" s="31" t="n">
        <v>335.4</v>
      </c>
      <c r="F79" s="31" t="n">
        <v>67.89</v>
      </c>
      <c r="G79" s="31" t="n">
        <v>60</v>
      </c>
      <c r="H79" s="31" t="n">
        <v>112</v>
      </c>
      <c r="I79" s="31"/>
      <c r="J79" s="31" t="n">
        <v>31.31</v>
      </c>
      <c r="K79" s="31" t="n">
        <v>63.2</v>
      </c>
      <c r="L79" s="31" t="n">
        <v>1</v>
      </c>
      <c r="M79" s="31"/>
      <c r="N79" s="31"/>
      <c r="O79" s="31"/>
      <c r="P79" s="31" t="n">
        <v>1</v>
      </c>
      <c r="Q79" s="12" t="n">
        <f aca="false">IF(P79=1,SUM(F79:M79)+N79,"")</f>
        <v>335.4</v>
      </c>
      <c r="R79" s="38" t="n">
        <f aca="false">IF(AND(P79=1,ISNUMBER(E79)),Q79-E79,"")</f>
        <v>0</v>
      </c>
      <c r="S79" s="31" t="n">
        <v>0</v>
      </c>
      <c r="T79" s="27" t="s">
        <v>364</v>
      </c>
    </row>
    <row r="80" customFormat="false" ht="15" hidden="false" customHeight="false" outlineLevel="0" collapsed="false">
      <c r="A80" s="31" t="n">
        <v>2023</v>
      </c>
      <c r="B80" s="31" t="n">
        <v>19</v>
      </c>
      <c r="C80" s="27" t="s">
        <v>163</v>
      </c>
      <c r="D80" s="27" t="s">
        <v>363</v>
      </c>
      <c r="E80" s="31" t="n">
        <v>323.9</v>
      </c>
      <c r="F80" s="31" t="n">
        <v>94.34</v>
      </c>
      <c r="G80" s="31" t="n">
        <v>38.3</v>
      </c>
      <c r="H80" s="31" t="n">
        <v>80</v>
      </c>
      <c r="I80" s="31"/>
      <c r="J80" s="31" t="n">
        <v>19.7</v>
      </c>
      <c r="K80" s="31" t="n">
        <v>80.57</v>
      </c>
      <c r="L80" s="31" t="n">
        <v>11</v>
      </c>
      <c r="M80" s="31"/>
      <c r="N80" s="31"/>
      <c r="O80" s="31"/>
      <c r="P80" s="31" t="n">
        <v>1</v>
      </c>
      <c r="Q80" s="12" t="n">
        <f aca="false">IF(P80=1,SUM(F80:M80)+N80,"")</f>
        <v>323.91</v>
      </c>
      <c r="R80" s="38" t="n">
        <f aca="false">IF(AND(P80=1,ISNUMBER(E80)),Q80-E80,"")</f>
        <v>0.00999999999999091</v>
      </c>
      <c r="S80" s="31" t="n">
        <v>0</v>
      </c>
      <c r="T80" s="27" t="s">
        <v>364</v>
      </c>
    </row>
    <row r="81" customFormat="false" ht="15" hidden="false" customHeight="false" outlineLevel="0" collapsed="false">
      <c r="A81" s="31" t="n">
        <v>2023</v>
      </c>
      <c r="B81" s="31" t="n">
        <v>20</v>
      </c>
      <c r="C81" s="27" t="s">
        <v>161</v>
      </c>
      <c r="D81" s="27" t="s">
        <v>363</v>
      </c>
      <c r="E81" s="31" t="n">
        <v>318.8</v>
      </c>
      <c r="F81" s="31" t="n">
        <v>54.86</v>
      </c>
      <c r="G81" s="31" t="n">
        <v>66</v>
      </c>
      <c r="H81" s="31" t="n">
        <v>80</v>
      </c>
      <c r="I81" s="31"/>
      <c r="J81" s="31" t="n">
        <v>14.16</v>
      </c>
      <c r="K81" s="31" t="n">
        <v>6.5</v>
      </c>
      <c r="L81" s="31" t="n">
        <v>16</v>
      </c>
      <c r="M81" s="31" t="n">
        <v>81.3</v>
      </c>
      <c r="N81" s="31"/>
      <c r="O81" s="31"/>
      <c r="P81" s="31" t="n">
        <v>1</v>
      </c>
      <c r="Q81" s="12" t="n">
        <f aca="false">IF(P81=1,SUM(F81:M81)+N81,"")</f>
        <v>320.82</v>
      </c>
      <c r="R81" s="38" t="n">
        <f aca="false">IF(AND(P81=1,ISNUMBER(E81)),Q81-E81,"")</f>
        <v>2.01999999999998</v>
      </c>
      <c r="S81" s="31" t="n">
        <v>0</v>
      </c>
      <c r="T81" s="27" t="s">
        <v>364</v>
      </c>
    </row>
    <row r="82" customFormat="false" ht="15" hidden="false" customHeight="false" outlineLevel="0" collapsed="false">
      <c r="A82" s="31" t="n">
        <v>2023</v>
      </c>
      <c r="B82" s="31" t="n">
        <v>21</v>
      </c>
      <c r="C82" s="27" t="s">
        <v>222</v>
      </c>
      <c r="D82" s="27" t="s">
        <v>363</v>
      </c>
      <c r="E82" s="31" t="n">
        <v>287.3</v>
      </c>
      <c r="F82" s="31" t="n">
        <v>52.63</v>
      </c>
      <c r="G82" s="31" t="n">
        <v>52.1</v>
      </c>
      <c r="H82" s="31" t="n">
        <v>30</v>
      </c>
      <c r="I82" s="31"/>
      <c r="J82" s="31"/>
      <c r="K82" s="31" t="n">
        <v>48.69</v>
      </c>
      <c r="L82" s="31" t="n">
        <v>18</v>
      </c>
      <c r="M82" s="31" t="n">
        <v>95.9</v>
      </c>
      <c r="N82" s="31" t="n">
        <v>-10</v>
      </c>
      <c r="O82" s="31"/>
      <c r="P82" s="31" t="n">
        <v>1</v>
      </c>
      <c r="Q82" s="12" t="n">
        <f aca="false">IF(P82=1,SUM(F82:M82)+N82,"")</f>
        <v>287.32</v>
      </c>
      <c r="R82" s="38" t="n">
        <f aca="false">IF(AND(P82=1,ISNUMBER(E82)),Q82-E82,"")</f>
        <v>0.0199999999999818</v>
      </c>
      <c r="S82" s="31" t="n">
        <v>0</v>
      </c>
      <c r="T82" s="27" t="s">
        <v>364</v>
      </c>
    </row>
    <row r="83" customFormat="false" ht="15" hidden="false" customHeight="false" outlineLevel="0" collapsed="false">
      <c r="A83" s="31" t="n">
        <v>2023</v>
      </c>
      <c r="B83" s="31" t="n">
        <v>22</v>
      </c>
      <c r="C83" s="27" t="s">
        <v>147</v>
      </c>
      <c r="D83" s="27" t="s">
        <v>363</v>
      </c>
      <c r="E83" s="31" t="n">
        <v>275.2</v>
      </c>
      <c r="F83" s="31" t="n">
        <v>83.96</v>
      </c>
      <c r="G83" s="31" t="n">
        <v>51.2</v>
      </c>
      <c r="H83" s="31" t="n">
        <v>140</v>
      </c>
      <c r="I83" s="31"/>
      <c r="J83" s="31"/>
      <c r="K83" s="31"/>
      <c r="L83" s="31"/>
      <c r="M83" s="31"/>
      <c r="N83" s="31"/>
      <c r="O83" s="31"/>
      <c r="P83" s="31" t="n">
        <v>1</v>
      </c>
      <c r="Q83" s="12" t="n">
        <f aca="false">IF(P83=1,SUM(F83:M83)+N83,"")</f>
        <v>275.16</v>
      </c>
      <c r="R83" s="38" t="n">
        <f aca="false">IF(AND(P83=1,ISNUMBER(E83)),Q83-E83,"")</f>
        <v>-0.0400000000000205</v>
      </c>
      <c r="S83" s="31" t="n">
        <v>0</v>
      </c>
      <c r="T83" s="27" t="s">
        <v>364</v>
      </c>
    </row>
    <row r="84" customFormat="false" ht="15" hidden="false" customHeight="false" outlineLevel="0" collapsed="false">
      <c r="A84" s="31" t="n">
        <v>2023</v>
      </c>
      <c r="B84" s="31" t="n">
        <v>23</v>
      </c>
      <c r="C84" s="27" t="s">
        <v>149</v>
      </c>
      <c r="D84" s="27" t="s">
        <v>363</v>
      </c>
      <c r="E84" s="31" t="n">
        <v>254.8</v>
      </c>
      <c r="F84" s="31" t="n">
        <v>75.58</v>
      </c>
      <c r="G84" s="31" t="n">
        <v>69.2</v>
      </c>
      <c r="H84" s="31" t="n">
        <v>110</v>
      </c>
      <c r="I84" s="31"/>
      <c r="J84" s="31"/>
      <c r="K84" s="31"/>
      <c r="L84" s="31"/>
      <c r="M84" s="31"/>
      <c r="N84" s="31"/>
      <c r="O84" s="31"/>
      <c r="P84" s="31" t="n">
        <v>1</v>
      </c>
      <c r="Q84" s="12" t="n">
        <f aca="false">IF(P84=1,SUM(F84:M84)+N84,"")</f>
        <v>254.78</v>
      </c>
      <c r="R84" s="38" t="n">
        <f aca="false">IF(AND(P84=1,ISNUMBER(E84)),Q84-E84,"")</f>
        <v>-0.0200000000000102</v>
      </c>
      <c r="S84" s="31" t="n">
        <v>0</v>
      </c>
      <c r="T84" s="27" t="s">
        <v>364</v>
      </c>
    </row>
    <row r="85" customFormat="false" ht="15" hidden="false" customHeight="false" outlineLevel="0" collapsed="false">
      <c r="A85" s="31" t="n">
        <v>2023</v>
      </c>
      <c r="B85" s="31" t="n">
        <v>24</v>
      </c>
      <c r="C85" s="27" t="s">
        <v>159</v>
      </c>
      <c r="D85" s="27" t="s">
        <v>363</v>
      </c>
      <c r="E85" s="31" t="n">
        <v>240.3</v>
      </c>
      <c r="F85" s="31" t="n">
        <v>83.78</v>
      </c>
      <c r="G85" s="31" t="n">
        <v>56.5</v>
      </c>
      <c r="H85" s="31" t="n">
        <v>100</v>
      </c>
      <c r="I85" s="31"/>
      <c r="J85" s="31"/>
      <c r="K85" s="31"/>
      <c r="L85" s="31"/>
      <c r="M85" s="31"/>
      <c r="N85" s="31"/>
      <c r="O85" s="31"/>
      <c r="P85" s="31" t="n">
        <v>1</v>
      </c>
      <c r="Q85" s="12" t="n">
        <f aca="false">IF(P85=1,SUM(F85:M85)+N85,"")</f>
        <v>240.28</v>
      </c>
      <c r="R85" s="38" t="n">
        <f aca="false">IF(AND(P85=1,ISNUMBER(E85)),Q85-E85,"")</f>
        <v>-0.0200000000000102</v>
      </c>
      <c r="S85" s="31" t="n">
        <v>0</v>
      </c>
      <c r="T85" s="27" t="s">
        <v>364</v>
      </c>
    </row>
    <row r="86" customFormat="false" ht="15" hidden="false" customHeight="false" outlineLevel="0" collapsed="false">
      <c r="A86" s="31" t="n">
        <v>2023</v>
      </c>
      <c r="B86" s="31" t="n">
        <v>25</v>
      </c>
      <c r="C86" s="27" t="s">
        <v>193</v>
      </c>
      <c r="D86" s="27" t="s">
        <v>363</v>
      </c>
      <c r="E86" s="31" t="n">
        <v>218.7</v>
      </c>
      <c r="F86" s="31" t="n">
        <v>73.09</v>
      </c>
      <c r="G86" s="31" t="n">
        <v>45.6</v>
      </c>
      <c r="H86" s="31" t="n">
        <v>100</v>
      </c>
      <c r="I86" s="31"/>
      <c r="J86" s="31"/>
      <c r="K86" s="31"/>
      <c r="L86" s="31"/>
      <c r="M86" s="31"/>
      <c r="N86" s="31"/>
      <c r="O86" s="31"/>
      <c r="P86" s="31" t="n">
        <v>1</v>
      </c>
      <c r="Q86" s="12" t="n">
        <f aca="false">IF(P86=1,SUM(F86:M86)+N86,"")</f>
        <v>218.69</v>
      </c>
      <c r="R86" s="38" t="n">
        <f aca="false">IF(AND(P86=1,ISNUMBER(E86)),Q86-E86,"")</f>
        <v>-0.00999999999999091</v>
      </c>
      <c r="S86" s="31" t="n">
        <v>0</v>
      </c>
      <c r="T86" s="27" t="s">
        <v>364</v>
      </c>
    </row>
    <row r="87" customFormat="false" ht="15" hidden="false" customHeight="false" outlineLevel="0" collapsed="false">
      <c r="A87" s="31" t="n">
        <v>2023</v>
      </c>
      <c r="B87" s="31" t="n">
        <v>26</v>
      </c>
      <c r="C87" s="27" t="s">
        <v>201</v>
      </c>
      <c r="D87" s="27" t="s">
        <v>363</v>
      </c>
      <c r="E87" s="31" t="n">
        <v>208</v>
      </c>
      <c r="F87" s="31" t="n">
        <v>93.03</v>
      </c>
      <c r="G87" s="31" t="n">
        <v>75</v>
      </c>
      <c r="H87" s="31" t="n">
        <v>50</v>
      </c>
      <c r="I87" s="31"/>
      <c r="J87" s="31"/>
      <c r="K87" s="31"/>
      <c r="L87" s="31"/>
      <c r="M87" s="31"/>
      <c r="N87" s="31" t="n">
        <v>-10</v>
      </c>
      <c r="O87" s="31"/>
      <c r="P87" s="31" t="n">
        <v>1</v>
      </c>
      <c r="Q87" s="12" t="n">
        <f aca="false">IF(P87=1,SUM(F87:M87)+N87,"")</f>
        <v>208.03</v>
      </c>
      <c r="R87" s="38" t="n">
        <f aca="false">IF(AND(P87=1,ISNUMBER(E87)),Q87-E87,"")</f>
        <v>0.0300000000000011</v>
      </c>
      <c r="S87" s="31" t="n">
        <v>0</v>
      </c>
      <c r="T87" s="27" t="s">
        <v>364</v>
      </c>
    </row>
    <row r="88" customFormat="false" ht="15" hidden="false" customHeight="false" outlineLevel="0" collapsed="false">
      <c r="A88" s="31" t="n">
        <v>2023</v>
      </c>
      <c r="B88" s="31" t="n">
        <v>27</v>
      </c>
      <c r="C88" s="27" t="s">
        <v>183</v>
      </c>
      <c r="D88" s="27" t="s">
        <v>363</v>
      </c>
      <c r="E88" s="31" t="n">
        <v>205.3</v>
      </c>
      <c r="F88" s="31" t="n">
        <v>83.91</v>
      </c>
      <c r="G88" s="31" t="n">
        <v>41.4</v>
      </c>
      <c r="H88" s="31" t="n">
        <v>80</v>
      </c>
      <c r="I88" s="31"/>
      <c r="J88" s="31"/>
      <c r="K88" s="31"/>
      <c r="L88" s="31"/>
      <c r="M88" s="31"/>
      <c r="N88" s="31"/>
      <c r="O88" s="31"/>
      <c r="P88" s="31" t="n">
        <v>1</v>
      </c>
      <c r="Q88" s="12" t="n">
        <f aca="false">IF(P88=1,SUM(F88:M88)+N88,"")</f>
        <v>205.31</v>
      </c>
      <c r="R88" s="38" t="n">
        <f aca="false">IF(AND(P88=1,ISNUMBER(E88)),Q88-E88,"")</f>
        <v>0.00999999999999091</v>
      </c>
      <c r="S88" s="31" t="n">
        <v>0</v>
      </c>
      <c r="T88" s="27" t="s">
        <v>364</v>
      </c>
    </row>
    <row r="89" customFormat="false" ht="15" hidden="false" customHeight="false" outlineLevel="0" collapsed="false">
      <c r="A89" s="31" t="n">
        <v>2023</v>
      </c>
      <c r="B89" s="31" t="n">
        <v>28</v>
      </c>
      <c r="C89" s="27" t="s">
        <v>230</v>
      </c>
      <c r="D89" s="27" t="s">
        <v>363</v>
      </c>
      <c r="E89" s="31" t="n">
        <v>202.7</v>
      </c>
      <c r="F89" s="31" t="n">
        <v>50.87</v>
      </c>
      <c r="G89" s="31" t="n">
        <v>56.8</v>
      </c>
      <c r="H89" s="31" t="n">
        <v>95</v>
      </c>
      <c r="I89" s="31"/>
      <c r="J89" s="31"/>
      <c r="K89" s="31"/>
      <c r="L89" s="31"/>
      <c r="M89" s="31"/>
      <c r="N89" s="31"/>
      <c r="O89" s="31"/>
      <c r="P89" s="31" t="n">
        <v>1</v>
      </c>
      <c r="Q89" s="12" t="n">
        <f aca="false">IF(P89=1,SUM(F89:M89)+N89,"")</f>
        <v>202.67</v>
      </c>
      <c r="R89" s="38" t="n">
        <f aca="false">IF(AND(P89=1,ISNUMBER(E89)),Q89-E89,"")</f>
        <v>-0.0300000000000011</v>
      </c>
      <c r="S89" s="31" t="n">
        <v>0</v>
      </c>
      <c r="T89" s="27" t="s">
        <v>364</v>
      </c>
    </row>
    <row r="90" customFormat="false" ht="15" hidden="false" customHeight="false" outlineLevel="0" collapsed="false">
      <c r="A90" s="31" t="n">
        <v>2023</v>
      </c>
      <c r="B90" s="31" t="n">
        <v>29</v>
      </c>
      <c r="C90" s="27" t="s">
        <v>184</v>
      </c>
      <c r="D90" s="27" t="s">
        <v>363</v>
      </c>
      <c r="E90" s="31" t="n">
        <v>200.4</v>
      </c>
      <c r="F90" s="31" t="n">
        <v>69.99</v>
      </c>
      <c r="G90" s="31" t="n">
        <v>65.4</v>
      </c>
      <c r="H90" s="31" t="n">
        <v>65</v>
      </c>
      <c r="I90" s="31"/>
      <c r="J90" s="31"/>
      <c r="K90" s="31"/>
      <c r="L90" s="31"/>
      <c r="M90" s="31"/>
      <c r="N90" s="31"/>
      <c r="O90" s="31"/>
      <c r="P90" s="31" t="n">
        <v>1</v>
      </c>
      <c r="Q90" s="12" t="n">
        <f aca="false">IF(P90=1,SUM(F90:M90)+N90,"")</f>
        <v>200.39</v>
      </c>
      <c r="R90" s="38" t="n">
        <f aca="false">IF(AND(P90=1,ISNUMBER(E90)),Q90-E90,"")</f>
        <v>-0.0100000000000193</v>
      </c>
      <c r="S90" s="31" t="n">
        <v>0</v>
      </c>
      <c r="T90" s="27" t="s">
        <v>364</v>
      </c>
    </row>
    <row r="91" customFormat="false" ht="15" hidden="false" customHeight="false" outlineLevel="0" collapsed="false">
      <c r="A91" s="31" t="n">
        <v>2023</v>
      </c>
      <c r="B91" s="31" t="n">
        <v>30</v>
      </c>
      <c r="C91" s="27" t="s">
        <v>194</v>
      </c>
      <c r="D91" s="27" t="s">
        <v>363</v>
      </c>
      <c r="E91" s="31" t="n">
        <v>198.5</v>
      </c>
      <c r="F91" s="31" t="n">
        <v>80.3</v>
      </c>
      <c r="G91" s="31" t="n">
        <v>48.2</v>
      </c>
      <c r="H91" s="31" t="n">
        <v>70</v>
      </c>
      <c r="I91" s="31"/>
      <c r="J91" s="31"/>
      <c r="K91" s="31"/>
      <c r="L91" s="31"/>
      <c r="M91" s="31"/>
      <c r="N91" s="31"/>
      <c r="O91" s="31"/>
      <c r="P91" s="31" t="n">
        <v>1</v>
      </c>
      <c r="Q91" s="12" t="n">
        <f aca="false">IF(P91=1,SUM(F91:M91)+N91,"")</f>
        <v>198.5</v>
      </c>
      <c r="R91" s="38" t="n">
        <f aca="false">IF(AND(P91=1,ISNUMBER(E91)),Q91-E91,"")</f>
        <v>0</v>
      </c>
      <c r="S91" s="31" t="n">
        <v>0</v>
      </c>
      <c r="T91" s="27" t="s">
        <v>364</v>
      </c>
    </row>
    <row r="92" customFormat="false" ht="15" hidden="false" customHeight="false" outlineLevel="0" collapsed="false">
      <c r="A92" s="31" t="n">
        <v>2023</v>
      </c>
      <c r="B92" s="31" t="n">
        <v>31</v>
      </c>
      <c r="C92" s="27" t="s">
        <v>199</v>
      </c>
      <c r="D92" s="27" t="s">
        <v>363</v>
      </c>
      <c r="E92" s="31" t="n">
        <v>190.6</v>
      </c>
      <c r="F92" s="31" t="n">
        <v>68.8</v>
      </c>
      <c r="G92" s="31" t="n">
        <v>40.8</v>
      </c>
      <c r="H92" s="31" t="n">
        <v>70</v>
      </c>
      <c r="I92" s="31"/>
      <c r="J92" s="31" t="n">
        <v>3.5</v>
      </c>
      <c r="K92" s="31" t="n">
        <v>6.5</v>
      </c>
      <c r="L92" s="31" t="n">
        <v>1</v>
      </c>
      <c r="M92" s="31"/>
      <c r="N92" s="31"/>
      <c r="O92" s="31"/>
      <c r="P92" s="31" t="n">
        <v>1</v>
      </c>
      <c r="Q92" s="12" t="n">
        <f aca="false">IF(P92=1,SUM(F92:M92)+N92,"")</f>
        <v>190.6</v>
      </c>
      <c r="R92" s="38" t="n">
        <f aca="false">IF(AND(P92=1,ISNUMBER(E92)),Q92-E92,"")</f>
        <v>0</v>
      </c>
      <c r="S92" s="31" t="n">
        <v>0</v>
      </c>
      <c r="T92" s="27" t="s">
        <v>364</v>
      </c>
    </row>
    <row r="93" customFormat="false" ht="15" hidden="false" customHeight="false" outlineLevel="0" collapsed="false">
      <c r="A93" s="31" t="n">
        <v>2023</v>
      </c>
      <c r="B93" s="31" t="n">
        <v>32</v>
      </c>
      <c r="C93" s="27" t="s">
        <v>211</v>
      </c>
      <c r="D93" s="27" t="s">
        <v>363</v>
      </c>
      <c r="E93" s="31" t="n">
        <v>188</v>
      </c>
      <c r="F93" s="31" t="n">
        <v>75.64</v>
      </c>
      <c r="G93" s="31" t="n">
        <v>52.3</v>
      </c>
      <c r="H93" s="31" t="n">
        <v>60</v>
      </c>
      <c r="I93" s="31"/>
      <c r="J93" s="31"/>
      <c r="K93" s="31"/>
      <c r="L93" s="31"/>
      <c r="M93" s="31"/>
      <c r="N93" s="31"/>
      <c r="O93" s="31"/>
      <c r="P93" s="31" t="n">
        <v>1</v>
      </c>
      <c r="Q93" s="12" t="n">
        <f aca="false">IF(P93=1,SUM(F93:M93)+N93,"")</f>
        <v>189.94</v>
      </c>
      <c r="R93" s="38" t="n">
        <f aca="false">IF(AND(P93=1,ISNUMBER(E93)),Q93-E93,"")</f>
        <v>1.94</v>
      </c>
      <c r="S93" s="31" t="n">
        <v>0</v>
      </c>
      <c r="T93" s="27" t="s">
        <v>364</v>
      </c>
    </row>
    <row r="94" customFormat="false" ht="15" hidden="false" customHeight="false" outlineLevel="0" collapsed="false">
      <c r="A94" s="31" t="n">
        <v>2023</v>
      </c>
      <c r="B94" s="31" t="n">
        <v>33</v>
      </c>
      <c r="C94" s="27" t="s">
        <v>170</v>
      </c>
      <c r="D94" s="27" t="s">
        <v>363</v>
      </c>
      <c r="E94" s="31" t="n">
        <v>183.5</v>
      </c>
      <c r="F94" s="31" t="n">
        <v>51.86</v>
      </c>
      <c r="G94" s="31" t="n">
        <v>56.6</v>
      </c>
      <c r="H94" s="31" t="n">
        <v>75</v>
      </c>
      <c r="I94" s="31"/>
      <c r="J94" s="31"/>
      <c r="K94" s="31"/>
      <c r="L94" s="31"/>
      <c r="M94" s="31"/>
      <c r="N94" s="31"/>
      <c r="O94" s="31"/>
      <c r="P94" s="31" t="n">
        <v>1</v>
      </c>
      <c r="Q94" s="12" t="n">
        <f aca="false">IF(P94=1,SUM(F94:M94)+N94,"")</f>
        <v>183.46</v>
      </c>
      <c r="R94" s="38" t="n">
        <f aca="false">IF(AND(P94=1,ISNUMBER(E94)),Q94-E94,"")</f>
        <v>-0.039999999999992</v>
      </c>
      <c r="S94" s="31" t="n">
        <v>0</v>
      </c>
      <c r="T94" s="27" t="s">
        <v>364</v>
      </c>
    </row>
    <row r="95" customFormat="false" ht="15" hidden="false" customHeight="false" outlineLevel="0" collapsed="false">
      <c r="A95" s="31" t="n">
        <v>2023</v>
      </c>
      <c r="B95" s="31" t="n">
        <v>34</v>
      </c>
      <c r="C95" s="27" t="s">
        <v>216</v>
      </c>
      <c r="D95" s="27" t="s">
        <v>363</v>
      </c>
      <c r="E95" s="31" t="n">
        <v>180.8</v>
      </c>
      <c r="F95" s="31" t="n">
        <v>32.03</v>
      </c>
      <c r="G95" s="31" t="n">
        <v>68.8</v>
      </c>
      <c r="H95" s="31" t="n">
        <v>80</v>
      </c>
      <c r="I95" s="31"/>
      <c r="J95" s="31"/>
      <c r="K95" s="31"/>
      <c r="L95" s="31"/>
      <c r="M95" s="31"/>
      <c r="N95" s="31"/>
      <c r="O95" s="31"/>
      <c r="P95" s="31" t="n">
        <v>1</v>
      </c>
      <c r="Q95" s="12" t="n">
        <f aca="false">IF(P95=1,SUM(F95:M95)+N95,"")</f>
        <v>180.83</v>
      </c>
      <c r="R95" s="38" t="n">
        <f aca="false">IF(AND(P95=1,ISNUMBER(E95)),Q95-E95,"")</f>
        <v>0.0299999999999727</v>
      </c>
      <c r="S95" s="31" t="n">
        <v>0</v>
      </c>
      <c r="T95" s="27" t="s">
        <v>364</v>
      </c>
    </row>
    <row r="96" customFormat="false" ht="15" hidden="false" customHeight="false" outlineLevel="0" collapsed="false">
      <c r="A96" s="31" t="n">
        <v>2023</v>
      </c>
      <c r="B96" s="31" t="n">
        <v>35</v>
      </c>
      <c r="C96" s="27" t="s">
        <v>186</v>
      </c>
      <c r="D96" s="27" t="s">
        <v>363</v>
      </c>
      <c r="E96" s="31" t="n">
        <v>176.1</v>
      </c>
      <c r="F96" s="31" t="n">
        <v>86.48</v>
      </c>
      <c r="G96" s="31" t="n">
        <v>39.7</v>
      </c>
      <c r="H96" s="31" t="n">
        <v>50</v>
      </c>
      <c r="I96" s="31"/>
      <c r="J96" s="31"/>
      <c r="K96" s="31"/>
      <c r="L96" s="31"/>
      <c r="M96" s="31"/>
      <c r="N96" s="31"/>
      <c r="O96" s="31"/>
      <c r="P96" s="31" t="n">
        <v>1</v>
      </c>
      <c r="Q96" s="12" t="n">
        <f aca="false">IF(P96=1,SUM(F96:M96)+N96,"")</f>
        <v>176.18</v>
      </c>
      <c r="R96" s="38" t="n">
        <f aca="false">IF(AND(P96=1,ISNUMBER(E96)),Q96-E96,"")</f>
        <v>0.0800000000000125</v>
      </c>
      <c r="S96" s="31" t="n">
        <v>0</v>
      </c>
      <c r="T96" s="27" t="s">
        <v>364</v>
      </c>
    </row>
    <row r="97" customFormat="false" ht="15" hidden="false" customHeight="false" outlineLevel="0" collapsed="false">
      <c r="A97" s="31" t="n">
        <v>2023</v>
      </c>
      <c r="B97" s="31" t="n">
        <v>36</v>
      </c>
      <c r="C97" s="27" t="s">
        <v>325</v>
      </c>
      <c r="D97" s="27" t="s">
        <v>363</v>
      </c>
      <c r="E97" s="31" t="n">
        <v>170.2</v>
      </c>
      <c r="F97" s="31" t="n">
        <v>50.95</v>
      </c>
      <c r="G97" s="31" t="n">
        <v>39.3</v>
      </c>
      <c r="H97" s="31" t="n">
        <v>80</v>
      </c>
      <c r="I97" s="31"/>
      <c r="J97" s="31"/>
      <c r="K97" s="31"/>
      <c r="L97" s="31"/>
      <c r="M97" s="31"/>
      <c r="N97" s="31"/>
      <c r="O97" s="31"/>
      <c r="P97" s="31" t="n">
        <v>1</v>
      </c>
      <c r="Q97" s="12" t="n">
        <f aca="false">IF(P97=1,SUM(F97:M97)+N97,"")</f>
        <v>170.25</v>
      </c>
      <c r="R97" s="38" t="n">
        <f aca="false">IF(AND(P97=1,ISNUMBER(E97)),Q97-E97,"")</f>
        <v>0.0500000000000114</v>
      </c>
      <c r="S97" s="31" t="n">
        <v>0</v>
      </c>
      <c r="T97" s="27" t="s">
        <v>364</v>
      </c>
    </row>
    <row r="98" customFormat="false" ht="15" hidden="false" customHeight="false" outlineLevel="0" collapsed="false">
      <c r="A98" s="31" t="n">
        <v>2023</v>
      </c>
      <c r="B98" s="31" t="n">
        <v>37</v>
      </c>
      <c r="C98" s="27" t="s">
        <v>326</v>
      </c>
      <c r="D98" s="27" t="s">
        <v>363</v>
      </c>
      <c r="E98" s="31" t="n">
        <v>167.7</v>
      </c>
      <c r="F98" s="31" t="n">
        <v>72.8</v>
      </c>
      <c r="G98" s="31" t="n">
        <v>34.9</v>
      </c>
      <c r="H98" s="31" t="n">
        <v>60</v>
      </c>
      <c r="I98" s="31"/>
      <c r="J98" s="31"/>
      <c r="K98" s="31"/>
      <c r="L98" s="31"/>
      <c r="M98" s="31"/>
      <c r="N98" s="31"/>
      <c r="O98" s="31"/>
      <c r="P98" s="31" t="n">
        <v>1</v>
      </c>
      <c r="Q98" s="12" t="n">
        <f aca="false">IF(P98=1,SUM(F98:M98)+N98,"")</f>
        <v>167.7</v>
      </c>
      <c r="R98" s="38" t="n">
        <f aca="false">IF(AND(P98=1,ISNUMBER(E98)),Q98-E98,"")</f>
        <v>0</v>
      </c>
      <c r="S98" s="31" t="n">
        <v>0</v>
      </c>
      <c r="T98" s="27" t="s">
        <v>364</v>
      </c>
    </row>
    <row r="99" customFormat="false" ht="15" hidden="false" customHeight="false" outlineLevel="0" collapsed="false">
      <c r="A99" s="31" t="n">
        <v>2023</v>
      </c>
      <c r="B99" s="31" t="n">
        <v>38</v>
      </c>
      <c r="C99" s="27" t="s">
        <v>327</v>
      </c>
      <c r="D99" s="27" t="s">
        <v>363</v>
      </c>
      <c r="E99" s="31" t="n">
        <v>161.2</v>
      </c>
      <c r="F99" s="31" t="n">
        <v>48.27</v>
      </c>
      <c r="G99" s="31" t="n">
        <v>52.9</v>
      </c>
      <c r="H99" s="31" t="n">
        <v>60</v>
      </c>
      <c r="I99" s="31"/>
      <c r="J99" s="31"/>
      <c r="K99" s="31"/>
      <c r="L99" s="31"/>
      <c r="M99" s="31"/>
      <c r="N99" s="31"/>
      <c r="O99" s="31"/>
      <c r="P99" s="31" t="n">
        <v>1</v>
      </c>
      <c r="Q99" s="12" t="n">
        <f aca="false">IF(P99=1,SUM(F99:M99)+N99,"")</f>
        <v>161.17</v>
      </c>
      <c r="R99" s="38" t="n">
        <f aca="false">IF(AND(P99=1,ISNUMBER(E99)),Q99-E99,"")</f>
        <v>-0.0299999999999727</v>
      </c>
      <c r="S99" s="31" t="n">
        <v>0</v>
      </c>
      <c r="T99" s="27" t="s">
        <v>364</v>
      </c>
    </row>
    <row r="100" customFormat="false" ht="15" hidden="false" customHeight="false" outlineLevel="0" collapsed="false">
      <c r="A100" s="31" t="n">
        <v>2023</v>
      </c>
      <c r="B100" s="31" t="n">
        <v>39</v>
      </c>
      <c r="C100" s="27" t="s">
        <v>215</v>
      </c>
      <c r="D100" s="27" t="s">
        <v>363</v>
      </c>
      <c r="E100" s="31" t="n">
        <v>157.2</v>
      </c>
      <c r="F100" s="31" t="n">
        <v>59.09</v>
      </c>
      <c r="G100" s="31" t="n">
        <v>38.1</v>
      </c>
      <c r="H100" s="31" t="n">
        <v>60</v>
      </c>
      <c r="I100" s="31"/>
      <c r="J100" s="31"/>
      <c r="K100" s="31"/>
      <c r="L100" s="31"/>
      <c r="M100" s="31"/>
      <c r="N100" s="31"/>
      <c r="O100" s="31"/>
      <c r="P100" s="31" t="n">
        <v>1</v>
      </c>
      <c r="Q100" s="12" t="n">
        <f aca="false">IF(P100=1,SUM(F100:M100)+N100,"")</f>
        <v>157.19</v>
      </c>
      <c r="R100" s="38" t="n">
        <f aca="false">IF(AND(P100=1,ISNUMBER(E100)),Q100-E100,"")</f>
        <v>-0.00999999999999091</v>
      </c>
      <c r="S100" s="31" t="n">
        <v>0</v>
      </c>
      <c r="T100" s="27" t="s">
        <v>364</v>
      </c>
    </row>
    <row r="101" customFormat="false" ht="15" hidden="false" customHeight="false" outlineLevel="0" collapsed="false">
      <c r="A101" s="31" t="n">
        <v>2023</v>
      </c>
      <c r="B101" s="31" t="n">
        <v>40</v>
      </c>
      <c r="C101" s="27" t="s">
        <v>212</v>
      </c>
      <c r="D101" s="27" t="s">
        <v>363</v>
      </c>
      <c r="E101" s="31" t="n">
        <v>156.2</v>
      </c>
      <c r="F101" s="31" t="n">
        <v>53.88</v>
      </c>
      <c r="G101" s="31" t="n">
        <v>52.3</v>
      </c>
      <c r="H101" s="31" t="n">
        <v>50</v>
      </c>
      <c r="I101" s="31"/>
      <c r="J101" s="31"/>
      <c r="K101" s="31"/>
      <c r="L101" s="31"/>
      <c r="M101" s="31"/>
      <c r="N101" s="31"/>
      <c r="O101" s="31"/>
      <c r="P101" s="31" t="n">
        <v>1</v>
      </c>
      <c r="Q101" s="12" t="n">
        <f aca="false">IF(P101=1,SUM(F101:M101)+N101,"")</f>
        <v>156.18</v>
      </c>
      <c r="R101" s="38" t="n">
        <f aca="false">IF(AND(P101=1,ISNUMBER(E101)),Q101-E101,"")</f>
        <v>-0.0199999999999818</v>
      </c>
      <c r="S101" s="31" t="n">
        <v>0</v>
      </c>
      <c r="T101" s="27" t="s">
        <v>364</v>
      </c>
    </row>
    <row r="102" customFormat="false" ht="15" hidden="false" customHeight="false" outlineLevel="0" collapsed="false">
      <c r="A102" s="31" t="n">
        <v>2023</v>
      </c>
      <c r="B102" s="31" t="n">
        <v>41</v>
      </c>
      <c r="C102" s="27" t="s">
        <v>224</v>
      </c>
      <c r="D102" s="27" t="s">
        <v>363</v>
      </c>
      <c r="E102" s="31" t="n">
        <v>154.6</v>
      </c>
      <c r="F102" s="31" t="n">
        <v>39.87</v>
      </c>
      <c r="G102" s="31" t="n">
        <v>44.8</v>
      </c>
      <c r="H102" s="31" t="n">
        <v>70</v>
      </c>
      <c r="I102" s="31"/>
      <c r="J102" s="31"/>
      <c r="K102" s="31"/>
      <c r="L102" s="31"/>
      <c r="M102" s="31"/>
      <c r="N102" s="31"/>
      <c r="O102" s="31"/>
      <c r="P102" s="31" t="n">
        <v>1</v>
      </c>
      <c r="Q102" s="12" t="n">
        <f aca="false">IF(P102=1,SUM(F102:M102)+N102,"")</f>
        <v>154.67</v>
      </c>
      <c r="R102" s="38" t="n">
        <f aca="false">IF(AND(P102=1,ISNUMBER(E102)),Q102-E102,"")</f>
        <v>0.0699999999999932</v>
      </c>
      <c r="S102" s="31" t="n">
        <v>0</v>
      </c>
      <c r="T102" s="27" t="s">
        <v>364</v>
      </c>
    </row>
    <row r="103" customFormat="false" ht="15" hidden="false" customHeight="false" outlineLevel="0" collapsed="false">
      <c r="A103" s="31" t="n">
        <v>2023</v>
      </c>
      <c r="B103" s="31" t="n">
        <v>42</v>
      </c>
      <c r="C103" s="27" t="s">
        <v>187</v>
      </c>
      <c r="D103" s="27" t="s">
        <v>363</v>
      </c>
      <c r="E103" s="31" t="n">
        <v>152.9</v>
      </c>
      <c r="F103" s="31" t="n">
        <v>75.44</v>
      </c>
      <c r="G103" s="31" t="n">
        <v>17.5</v>
      </c>
      <c r="H103" s="31" t="n">
        <v>60</v>
      </c>
      <c r="I103" s="31"/>
      <c r="J103" s="31"/>
      <c r="K103" s="31"/>
      <c r="L103" s="31"/>
      <c r="M103" s="31"/>
      <c r="N103" s="31"/>
      <c r="O103" s="31"/>
      <c r="P103" s="31" t="n">
        <v>1</v>
      </c>
      <c r="Q103" s="12" t="n">
        <f aca="false">IF(P103=1,SUM(F103:M103)+N103,"")</f>
        <v>152.94</v>
      </c>
      <c r="R103" s="38" t="n">
        <f aca="false">IF(AND(P103=1,ISNUMBER(E103)),Q103-E103,"")</f>
        <v>0.039999999999992</v>
      </c>
      <c r="S103" s="31" t="n">
        <v>0</v>
      </c>
      <c r="T103" s="27" t="s">
        <v>364</v>
      </c>
    </row>
    <row r="104" customFormat="false" ht="15" hidden="false" customHeight="false" outlineLevel="0" collapsed="false">
      <c r="A104" s="31" t="n">
        <v>2023</v>
      </c>
      <c r="B104" s="31" t="n">
        <v>43</v>
      </c>
      <c r="C104" s="27" t="s">
        <v>168</v>
      </c>
      <c r="D104" s="27" t="s">
        <v>363</v>
      </c>
      <c r="E104" s="31" t="n">
        <v>151.9</v>
      </c>
      <c r="F104" s="31" t="n">
        <v>82.88</v>
      </c>
      <c r="G104" s="31" t="n">
        <v>58</v>
      </c>
      <c r="H104" s="31" t="n">
        <v>10</v>
      </c>
      <c r="I104" s="31"/>
      <c r="J104" s="31"/>
      <c r="K104" s="31"/>
      <c r="L104" s="31" t="n">
        <v>1</v>
      </c>
      <c r="M104" s="31"/>
      <c r="N104" s="31"/>
      <c r="O104" s="31"/>
      <c r="P104" s="31" t="n">
        <v>1</v>
      </c>
      <c r="Q104" s="12" t="n">
        <f aca="false">IF(P104=1,SUM(F104:M104)+N104,"")</f>
        <v>151.88</v>
      </c>
      <c r="R104" s="38" t="n">
        <f aca="false">IF(AND(P104=1,ISNUMBER(E104)),Q104-E104,"")</f>
        <v>-0.0200000000000102</v>
      </c>
      <c r="S104" s="31" t="n">
        <v>0</v>
      </c>
      <c r="T104" s="27" t="s">
        <v>364</v>
      </c>
    </row>
    <row r="105" customFormat="false" ht="15" hidden="false" customHeight="false" outlineLevel="0" collapsed="false">
      <c r="A105" s="31" t="n">
        <v>2023</v>
      </c>
      <c r="B105" s="31" t="n">
        <v>44</v>
      </c>
      <c r="C105" s="27" t="s">
        <v>181</v>
      </c>
      <c r="D105" s="27" t="s">
        <v>363</v>
      </c>
      <c r="E105" s="31" t="n">
        <v>147.7</v>
      </c>
      <c r="F105" s="31" t="n">
        <v>37.79</v>
      </c>
      <c r="G105" s="31" t="n">
        <v>19.9</v>
      </c>
      <c r="H105" s="31" t="n">
        <v>90</v>
      </c>
      <c r="I105" s="31"/>
      <c r="J105" s="31"/>
      <c r="K105" s="31"/>
      <c r="L105" s="31"/>
      <c r="M105" s="31"/>
      <c r="N105" s="31"/>
      <c r="O105" s="31"/>
      <c r="P105" s="31" t="n">
        <v>1</v>
      </c>
      <c r="Q105" s="12" t="n">
        <f aca="false">IF(P105=1,SUM(F105:M105)+N105,"")</f>
        <v>147.69</v>
      </c>
      <c r="R105" s="38" t="n">
        <f aca="false">IF(AND(P105=1,ISNUMBER(E105)),Q105-E105,"")</f>
        <v>-0.00999999999999091</v>
      </c>
      <c r="S105" s="31" t="n">
        <v>0</v>
      </c>
      <c r="T105" s="27" t="s">
        <v>364</v>
      </c>
    </row>
    <row r="106" customFormat="false" ht="15" hidden="false" customHeight="false" outlineLevel="0" collapsed="false">
      <c r="A106" s="31" t="n">
        <v>2023</v>
      </c>
      <c r="B106" s="31" t="n">
        <v>45</v>
      </c>
      <c r="C106" s="27" t="s">
        <v>204</v>
      </c>
      <c r="D106" s="27" t="s">
        <v>363</v>
      </c>
      <c r="E106" s="31" t="n">
        <v>145.2</v>
      </c>
      <c r="F106" s="31" t="n">
        <v>55.74</v>
      </c>
      <c r="G106" s="31" t="n">
        <v>49.5</v>
      </c>
      <c r="H106" s="31" t="n">
        <v>40</v>
      </c>
      <c r="I106" s="31"/>
      <c r="J106" s="31"/>
      <c r="K106" s="31"/>
      <c r="L106" s="31"/>
      <c r="M106" s="31"/>
      <c r="N106" s="31"/>
      <c r="O106" s="31"/>
      <c r="P106" s="31" t="n">
        <v>1</v>
      </c>
      <c r="Q106" s="12" t="n">
        <f aca="false">IF(P106=1,SUM(F106:M106)+N106,"")</f>
        <v>145.24</v>
      </c>
      <c r="R106" s="38" t="n">
        <f aca="false">IF(AND(P106=1,ISNUMBER(E106)),Q106-E106,"")</f>
        <v>0.0400000000000205</v>
      </c>
      <c r="S106" s="31" t="n">
        <v>0</v>
      </c>
      <c r="T106" s="27" t="s">
        <v>364</v>
      </c>
    </row>
    <row r="107" customFormat="false" ht="15" hidden="false" customHeight="false" outlineLevel="0" collapsed="false">
      <c r="A107" s="31" t="n">
        <v>2023</v>
      </c>
      <c r="B107" s="31" t="n">
        <v>46</v>
      </c>
      <c r="C107" s="27" t="s">
        <v>192</v>
      </c>
      <c r="D107" s="27" t="s">
        <v>363</v>
      </c>
      <c r="E107" s="31" t="n">
        <v>141.8</v>
      </c>
      <c r="F107" s="31" t="n">
        <v>34.19</v>
      </c>
      <c r="G107" s="31" t="n">
        <v>57.6</v>
      </c>
      <c r="H107" s="31" t="n">
        <v>50</v>
      </c>
      <c r="I107" s="31"/>
      <c r="J107" s="31"/>
      <c r="K107" s="31"/>
      <c r="L107" s="31"/>
      <c r="M107" s="31"/>
      <c r="N107" s="31"/>
      <c r="O107" s="31"/>
      <c r="P107" s="31" t="n">
        <v>1</v>
      </c>
      <c r="Q107" s="12" t="n">
        <f aca="false">IF(P107=1,SUM(F107:M107)+N107,"")</f>
        <v>141.79</v>
      </c>
      <c r="R107" s="38" t="n">
        <f aca="false">IF(AND(P107=1,ISNUMBER(E107)),Q107-E107,"")</f>
        <v>-0.0100000000000193</v>
      </c>
      <c r="S107" s="31" t="n">
        <v>0</v>
      </c>
      <c r="T107" s="27" t="s">
        <v>364</v>
      </c>
    </row>
    <row r="108" customFormat="false" ht="15" hidden="false" customHeight="false" outlineLevel="0" collapsed="false">
      <c r="A108" s="31" t="n">
        <v>2023</v>
      </c>
      <c r="B108" s="31" t="n">
        <v>47</v>
      </c>
      <c r="C108" s="27" t="s">
        <v>328</v>
      </c>
      <c r="D108" s="27" t="s">
        <v>363</v>
      </c>
      <c r="E108" s="31" t="n">
        <v>141.5</v>
      </c>
      <c r="F108" s="31" t="n">
        <v>53.76</v>
      </c>
      <c r="G108" s="31" t="n">
        <v>47.7</v>
      </c>
      <c r="H108" s="31" t="n">
        <v>40</v>
      </c>
      <c r="I108" s="31"/>
      <c r="J108" s="31"/>
      <c r="K108" s="31"/>
      <c r="L108" s="31"/>
      <c r="M108" s="31"/>
      <c r="N108" s="31"/>
      <c r="O108" s="31"/>
      <c r="P108" s="31" t="n">
        <v>1</v>
      </c>
      <c r="Q108" s="12" t="n">
        <f aca="false">IF(P108=1,SUM(F108:M108)+N108,"")</f>
        <v>141.46</v>
      </c>
      <c r="R108" s="38" t="n">
        <f aca="false">IF(AND(P108=1,ISNUMBER(E108)),Q108-E108,"")</f>
        <v>-0.039999999999992</v>
      </c>
      <c r="S108" s="31" t="n">
        <v>0</v>
      </c>
      <c r="T108" s="27" t="s">
        <v>364</v>
      </c>
    </row>
    <row r="109" customFormat="false" ht="15" hidden="false" customHeight="false" outlineLevel="0" collapsed="false">
      <c r="A109" s="31" t="n">
        <v>2023</v>
      </c>
      <c r="B109" s="31" t="n">
        <v>48</v>
      </c>
      <c r="C109" s="27" t="s">
        <v>202</v>
      </c>
      <c r="D109" s="27" t="s">
        <v>363</v>
      </c>
      <c r="E109" s="31" t="n">
        <v>134.7</v>
      </c>
      <c r="F109" s="31" t="n">
        <v>44.08</v>
      </c>
      <c r="G109" s="31" t="n">
        <v>35.6</v>
      </c>
      <c r="H109" s="31" t="n">
        <v>55</v>
      </c>
      <c r="I109" s="31"/>
      <c r="J109" s="31"/>
      <c r="K109" s="31"/>
      <c r="L109" s="31"/>
      <c r="M109" s="31"/>
      <c r="N109" s="31"/>
      <c r="O109" s="31"/>
      <c r="P109" s="31" t="n">
        <v>1</v>
      </c>
      <c r="Q109" s="12" t="n">
        <f aca="false">IF(P109=1,SUM(F109:M109)+N109,"")</f>
        <v>134.68</v>
      </c>
      <c r="R109" s="38" t="n">
        <f aca="false">IF(AND(P109=1,ISNUMBER(E109)),Q109-E109,"")</f>
        <v>-0.0199999999999818</v>
      </c>
      <c r="S109" s="31" t="n">
        <v>0</v>
      </c>
      <c r="T109" s="27" t="s">
        <v>364</v>
      </c>
    </row>
    <row r="110" customFormat="false" ht="15" hidden="false" customHeight="false" outlineLevel="0" collapsed="false">
      <c r="A110" s="31" t="n">
        <v>2023</v>
      </c>
      <c r="B110" s="31" t="n">
        <v>49</v>
      </c>
      <c r="C110" s="27" t="s">
        <v>217</v>
      </c>
      <c r="D110" s="27" t="s">
        <v>363</v>
      </c>
      <c r="E110" s="31" t="n">
        <v>131.8</v>
      </c>
      <c r="F110" s="31" t="n">
        <v>52.69</v>
      </c>
      <c r="G110" s="31" t="n">
        <v>29.1</v>
      </c>
      <c r="H110" s="31" t="n">
        <v>50</v>
      </c>
      <c r="I110" s="31"/>
      <c r="J110" s="31"/>
      <c r="K110" s="31"/>
      <c r="L110" s="31"/>
      <c r="M110" s="31"/>
      <c r="N110" s="31"/>
      <c r="O110" s="31"/>
      <c r="P110" s="31" t="n">
        <v>1</v>
      </c>
      <c r="Q110" s="12" t="n">
        <f aca="false">IF(P110=1,SUM(F110:M110)+N110,"")</f>
        <v>131.79</v>
      </c>
      <c r="R110" s="38" t="n">
        <f aca="false">IF(AND(P110=1,ISNUMBER(E110)),Q110-E110,"")</f>
        <v>-0.0100000000000193</v>
      </c>
      <c r="S110" s="31" t="n">
        <v>0</v>
      </c>
      <c r="T110" s="27" t="s">
        <v>364</v>
      </c>
    </row>
    <row r="111" customFormat="false" ht="15" hidden="false" customHeight="false" outlineLevel="0" collapsed="false">
      <c r="A111" s="31" t="n">
        <v>2023</v>
      </c>
      <c r="B111" s="31" t="n">
        <v>50</v>
      </c>
      <c r="C111" s="27" t="s">
        <v>196</v>
      </c>
      <c r="D111" s="27" t="s">
        <v>363</v>
      </c>
      <c r="E111" s="31" t="n">
        <v>127.5</v>
      </c>
      <c r="F111" s="31" t="n">
        <v>78.02</v>
      </c>
      <c r="G111" s="31" t="n">
        <v>19.5</v>
      </c>
      <c r="H111" s="31" t="n">
        <v>30</v>
      </c>
      <c r="I111" s="31"/>
      <c r="J111" s="31"/>
      <c r="K111" s="31"/>
      <c r="L111" s="31"/>
      <c r="M111" s="31"/>
      <c r="N111" s="31"/>
      <c r="O111" s="31"/>
      <c r="P111" s="31" t="n">
        <v>1</v>
      </c>
      <c r="Q111" s="12" t="n">
        <f aca="false">IF(P111=1,SUM(F111:M111)+N111,"")</f>
        <v>127.52</v>
      </c>
      <c r="R111" s="38" t="n">
        <f aca="false">IF(AND(P111=1,ISNUMBER(E111)),Q111-E111,"")</f>
        <v>0.019999999999996</v>
      </c>
      <c r="S111" s="31" t="n">
        <v>0</v>
      </c>
      <c r="T111" s="27" t="s">
        <v>364</v>
      </c>
    </row>
    <row r="112" customFormat="false" ht="15" hidden="false" customHeight="false" outlineLevel="0" collapsed="false">
      <c r="A112" s="31" t="n">
        <v>2023</v>
      </c>
      <c r="B112" s="31" t="n">
        <v>51</v>
      </c>
      <c r="C112" s="27" t="s">
        <v>190</v>
      </c>
      <c r="D112" s="27" t="s">
        <v>363</v>
      </c>
      <c r="E112" s="31" t="n">
        <v>122.4</v>
      </c>
      <c r="F112" s="31" t="n">
        <v>39</v>
      </c>
      <c r="G112" s="31" t="n">
        <v>58.4</v>
      </c>
      <c r="H112" s="31" t="n">
        <v>25</v>
      </c>
      <c r="I112" s="31"/>
      <c r="J112" s="31"/>
      <c r="K112" s="31"/>
      <c r="L112" s="31"/>
      <c r="M112" s="31"/>
      <c r="N112" s="31"/>
      <c r="O112" s="31"/>
      <c r="P112" s="31" t="n">
        <v>1</v>
      </c>
      <c r="Q112" s="12" t="n">
        <f aca="false">IF(P112=1,SUM(F112:M112)+N112,"")</f>
        <v>122.4</v>
      </c>
      <c r="R112" s="38" t="n">
        <f aca="false">IF(AND(P112=1,ISNUMBER(E112)),Q112-E112,"")</f>
        <v>0</v>
      </c>
      <c r="S112" s="31" t="n">
        <v>0</v>
      </c>
      <c r="T112" s="27" t="s">
        <v>364</v>
      </c>
    </row>
    <row r="113" customFormat="false" ht="15" hidden="false" customHeight="false" outlineLevel="0" collapsed="false">
      <c r="A113" s="31" t="n">
        <v>2023</v>
      </c>
      <c r="B113" s="31" t="n">
        <v>52</v>
      </c>
      <c r="C113" s="27" t="s">
        <v>246</v>
      </c>
      <c r="D113" s="27" t="s">
        <v>363</v>
      </c>
      <c r="E113" s="31" t="n">
        <v>115.5</v>
      </c>
      <c r="F113" s="31" t="n">
        <v>39.7</v>
      </c>
      <c r="G113" s="31" t="n">
        <v>50.8</v>
      </c>
      <c r="H113" s="31" t="n">
        <v>35</v>
      </c>
      <c r="I113" s="31"/>
      <c r="J113" s="31"/>
      <c r="K113" s="31"/>
      <c r="L113" s="31"/>
      <c r="M113" s="31"/>
      <c r="N113" s="31" t="n">
        <v>-10</v>
      </c>
      <c r="O113" s="31"/>
      <c r="P113" s="31" t="n">
        <v>1</v>
      </c>
      <c r="Q113" s="12" t="n">
        <f aca="false">IF(P113=1,SUM(F113:M113)+N113,"")</f>
        <v>115.5</v>
      </c>
      <c r="R113" s="38" t="n">
        <f aca="false">IF(AND(P113=1,ISNUMBER(E113)),Q113-E113,"")</f>
        <v>0</v>
      </c>
      <c r="S113" s="31" t="n">
        <v>0</v>
      </c>
      <c r="T113" s="27" t="s">
        <v>364</v>
      </c>
    </row>
    <row r="114" customFormat="false" ht="15" hidden="false" customHeight="false" outlineLevel="0" collapsed="false">
      <c r="A114" s="31" t="n">
        <v>2023</v>
      </c>
      <c r="B114" s="31" t="n">
        <v>53</v>
      </c>
      <c r="C114" s="27" t="s">
        <v>258</v>
      </c>
      <c r="D114" s="27" t="s">
        <v>363</v>
      </c>
      <c r="E114" s="31" t="n">
        <v>106</v>
      </c>
      <c r="F114" s="31" t="n">
        <v>39.03</v>
      </c>
      <c r="G114" s="31" t="n">
        <v>17</v>
      </c>
      <c r="H114" s="31" t="n">
        <v>50</v>
      </c>
      <c r="I114" s="31"/>
      <c r="J114" s="31"/>
      <c r="K114" s="31"/>
      <c r="L114" s="31"/>
      <c r="M114" s="31"/>
      <c r="N114" s="31"/>
      <c r="O114" s="31"/>
      <c r="P114" s="31" t="n">
        <v>1</v>
      </c>
      <c r="Q114" s="12" t="n">
        <f aca="false">IF(P114=1,SUM(F114:M114)+N114,"")</f>
        <v>106.03</v>
      </c>
      <c r="R114" s="38" t="n">
        <f aca="false">IF(AND(P114=1,ISNUMBER(E114)),Q114-E114,"")</f>
        <v>0.0300000000000011</v>
      </c>
      <c r="S114" s="31" t="n">
        <v>0</v>
      </c>
      <c r="T114" s="27" t="s">
        <v>364</v>
      </c>
    </row>
    <row r="115" customFormat="false" ht="15" hidden="false" customHeight="false" outlineLevel="0" collapsed="false">
      <c r="A115" s="31" t="n">
        <v>2023</v>
      </c>
      <c r="B115" s="31" t="n">
        <v>54</v>
      </c>
      <c r="C115" s="27" t="s">
        <v>195</v>
      </c>
      <c r="D115" s="27" t="s">
        <v>363</v>
      </c>
      <c r="E115" s="31" t="n">
        <v>105</v>
      </c>
      <c r="F115" s="31" t="n">
        <v>38.32</v>
      </c>
      <c r="G115" s="31" t="n">
        <v>56.7</v>
      </c>
      <c r="H115" s="31" t="n">
        <v>20</v>
      </c>
      <c r="I115" s="31"/>
      <c r="J115" s="31"/>
      <c r="K115" s="31"/>
      <c r="L115" s="31"/>
      <c r="M115" s="31"/>
      <c r="N115" s="31" t="n">
        <v>-10</v>
      </c>
      <c r="O115" s="31"/>
      <c r="P115" s="31" t="n">
        <v>1</v>
      </c>
      <c r="Q115" s="12" t="n">
        <f aca="false">IF(P115=1,SUM(F115:M115)+N115,"")</f>
        <v>105.02</v>
      </c>
      <c r="R115" s="38" t="n">
        <f aca="false">IF(AND(P115=1,ISNUMBER(E115)),Q115-E115,"")</f>
        <v>0.0200000000000102</v>
      </c>
      <c r="S115" s="31" t="n">
        <v>0</v>
      </c>
      <c r="T115" s="27" t="s">
        <v>364</v>
      </c>
    </row>
    <row r="116" customFormat="false" ht="15" hidden="false" customHeight="false" outlineLevel="0" collapsed="false">
      <c r="A116" s="31" t="n">
        <v>2023</v>
      </c>
      <c r="B116" s="31" t="n">
        <v>55</v>
      </c>
      <c r="C116" s="27" t="s">
        <v>214</v>
      </c>
      <c r="D116" s="27" t="s">
        <v>363</v>
      </c>
      <c r="E116" s="31" t="n">
        <v>104</v>
      </c>
      <c r="F116" s="31" t="n">
        <v>30.21</v>
      </c>
      <c r="G116" s="31" t="n">
        <v>33.8</v>
      </c>
      <c r="H116" s="31" t="n">
        <v>40</v>
      </c>
      <c r="I116" s="31"/>
      <c r="J116" s="31"/>
      <c r="K116" s="31"/>
      <c r="L116" s="31"/>
      <c r="M116" s="31"/>
      <c r="N116" s="31"/>
      <c r="O116" s="31"/>
      <c r="P116" s="31" t="n">
        <v>1</v>
      </c>
      <c r="Q116" s="12" t="n">
        <f aca="false">IF(P116=1,SUM(F116:M116)+N116,"")</f>
        <v>104.01</v>
      </c>
      <c r="R116" s="38" t="n">
        <f aca="false">IF(AND(P116=1,ISNUMBER(E116)),Q116-E116,"")</f>
        <v>0.00999999999999091</v>
      </c>
      <c r="S116" s="31" t="n">
        <v>0</v>
      </c>
      <c r="T116" s="27" t="s">
        <v>364</v>
      </c>
    </row>
    <row r="117" customFormat="false" ht="15" hidden="false" customHeight="false" outlineLevel="0" collapsed="false">
      <c r="A117" s="31" t="n">
        <v>2023</v>
      </c>
      <c r="B117" s="31" t="n">
        <v>56</v>
      </c>
      <c r="C117" s="27" t="s">
        <v>228</v>
      </c>
      <c r="D117" s="27" t="s">
        <v>363</v>
      </c>
      <c r="E117" s="31" t="n">
        <v>102.4</v>
      </c>
      <c r="F117" s="31" t="n">
        <v>57.15</v>
      </c>
      <c r="G117" s="31" t="n">
        <v>35.3</v>
      </c>
      <c r="H117" s="31" t="n">
        <v>10</v>
      </c>
      <c r="I117" s="31"/>
      <c r="J117" s="31"/>
      <c r="K117" s="31"/>
      <c r="L117" s="31"/>
      <c r="M117" s="31"/>
      <c r="N117" s="31"/>
      <c r="O117" s="31"/>
      <c r="P117" s="31" t="n">
        <v>1</v>
      </c>
      <c r="Q117" s="12" t="n">
        <f aca="false">IF(P117=1,SUM(F117:M117)+N117,"")</f>
        <v>102.45</v>
      </c>
      <c r="R117" s="38" t="n">
        <f aca="false">IF(AND(P117=1,ISNUMBER(E117)),Q117-E117,"")</f>
        <v>0.049999999999983</v>
      </c>
      <c r="S117" s="31" t="n">
        <v>0</v>
      </c>
      <c r="T117" s="27" t="s">
        <v>364</v>
      </c>
    </row>
    <row r="118" customFormat="false" ht="15" hidden="false" customHeight="false" outlineLevel="0" collapsed="false">
      <c r="A118" s="31" t="n">
        <v>2023</v>
      </c>
      <c r="B118" s="31" t="n">
        <v>57</v>
      </c>
      <c r="C118" s="27" t="s">
        <v>188</v>
      </c>
      <c r="D118" s="27" t="s">
        <v>363</v>
      </c>
      <c r="E118" s="31" t="n">
        <v>99.1</v>
      </c>
      <c r="F118" s="31" t="n">
        <v>42.18</v>
      </c>
      <c r="G118" s="31" t="n">
        <v>46.9</v>
      </c>
      <c r="H118" s="31" t="n">
        <v>60</v>
      </c>
      <c r="I118" s="31"/>
      <c r="J118" s="31"/>
      <c r="K118" s="31"/>
      <c r="L118" s="31"/>
      <c r="M118" s="31"/>
      <c r="N118" s="31" t="n">
        <v>-50</v>
      </c>
      <c r="O118" s="31"/>
      <c r="P118" s="31" t="n">
        <v>1</v>
      </c>
      <c r="Q118" s="12" t="n">
        <f aca="false">IF(P118=1,SUM(F118:M118)+N118,"")</f>
        <v>99.08</v>
      </c>
      <c r="R118" s="38" t="n">
        <f aca="false">IF(AND(P118=1,ISNUMBER(E118)),Q118-E118,"")</f>
        <v>-0.0200000000000102</v>
      </c>
      <c r="S118" s="31" t="n">
        <v>0</v>
      </c>
      <c r="T118" s="27" t="s">
        <v>364</v>
      </c>
    </row>
    <row r="119" customFormat="false" ht="15" hidden="false" customHeight="false" outlineLevel="0" collapsed="false">
      <c r="A119" s="31" t="n">
        <v>2023</v>
      </c>
      <c r="B119" s="31" t="n">
        <v>58</v>
      </c>
      <c r="C119" s="27" t="s">
        <v>197</v>
      </c>
      <c r="D119" s="27" t="s">
        <v>363</v>
      </c>
      <c r="E119" s="31" t="n">
        <v>95.5</v>
      </c>
      <c r="F119" s="31" t="n">
        <v>36.25</v>
      </c>
      <c r="G119" s="31" t="n">
        <v>69.3</v>
      </c>
      <c r="H119" s="31" t="n">
        <v>40</v>
      </c>
      <c r="I119" s="31"/>
      <c r="J119" s="31"/>
      <c r="K119" s="31"/>
      <c r="L119" s="31"/>
      <c r="M119" s="31"/>
      <c r="N119" s="31" t="n">
        <v>-50</v>
      </c>
      <c r="O119" s="31"/>
      <c r="P119" s="31" t="n">
        <v>1</v>
      </c>
      <c r="Q119" s="12" t="n">
        <f aca="false">IF(P119=1,SUM(F119:M119)+N119,"")</f>
        <v>95.55</v>
      </c>
      <c r="R119" s="38" t="n">
        <f aca="false">IF(AND(P119=1,ISNUMBER(E119)),Q119-E119,"")</f>
        <v>0.0500000000000114</v>
      </c>
      <c r="S119" s="31" t="n">
        <v>0</v>
      </c>
      <c r="T119" s="27" t="s">
        <v>364</v>
      </c>
    </row>
    <row r="120" customFormat="false" ht="15" hidden="false" customHeight="false" outlineLevel="0" collapsed="false">
      <c r="A120" s="31" t="n">
        <v>2023</v>
      </c>
      <c r="B120" s="31" t="n">
        <v>59</v>
      </c>
      <c r="C120" s="27" t="s">
        <v>235</v>
      </c>
      <c r="D120" s="27" t="s">
        <v>363</v>
      </c>
      <c r="E120" s="31" t="n">
        <v>78.7</v>
      </c>
      <c r="F120" s="31" t="n">
        <v>43.8</v>
      </c>
      <c r="G120" s="31" t="n">
        <v>44.9</v>
      </c>
      <c r="H120" s="31" t="n">
        <v>30</v>
      </c>
      <c r="I120" s="31"/>
      <c r="J120" s="31"/>
      <c r="K120" s="31"/>
      <c r="L120" s="31"/>
      <c r="M120" s="31"/>
      <c r="N120" s="31" t="n">
        <v>-40</v>
      </c>
      <c r="O120" s="31"/>
      <c r="P120" s="31" t="n">
        <v>1</v>
      </c>
      <c r="Q120" s="12" t="n">
        <f aca="false">IF(P120=1,SUM(F120:M120)+N120,"")</f>
        <v>78.7</v>
      </c>
      <c r="R120" s="38" t="n">
        <f aca="false">IF(AND(P120=1,ISNUMBER(E120)),Q120-E120,"")</f>
        <v>0</v>
      </c>
      <c r="S120" s="31" t="n">
        <v>0</v>
      </c>
      <c r="T120" s="27" t="s">
        <v>364</v>
      </c>
    </row>
    <row r="121" customFormat="false" ht="15" hidden="false" customHeight="false" outlineLevel="0" collapsed="false">
      <c r="A121" s="31" t="n">
        <v>2023</v>
      </c>
      <c r="B121" s="31" t="n">
        <v>60</v>
      </c>
      <c r="C121" s="27" t="s">
        <v>208</v>
      </c>
      <c r="D121" s="27" t="s">
        <v>363</v>
      </c>
      <c r="E121" s="31" t="n">
        <v>68.3</v>
      </c>
      <c r="F121" s="31" t="n">
        <v>45.53</v>
      </c>
      <c r="G121" s="31" t="n">
        <v>27.8</v>
      </c>
      <c r="H121" s="31" t="n">
        <v>35</v>
      </c>
      <c r="I121" s="31"/>
      <c r="J121" s="31"/>
      <c r="K121" s="31"/>
      <c r="L121" s="31"/>
      <c r="M121" s="31"/>
      <c r="N121" s="31" t="n">
        <v>-40</v>
      </c>
      <c r="O121" s="31"/>
      <c r="P121" s="31" t="n">
        <v>1</v>
      </c>
      <c r="Q121" s="12" t="n">
        <f aca="false">IF(P121=1,SUM(F121:M121)+N121,"")</f>
        <v>68.33</v>
      </c>
      <c r="R121" s="38" t="n">
        <f aca="false">IF(AND(P121=1,ISNUMBER(E121)),Q121-E121,"")</f>
        <v>0.0300000000000011</v>
      </c>
      <c r="S121" s="31" t="n">
        <v>0</v>
      </c>
      <c r="T121" s="27" t="s">
        <v>364</v>
      </c>
    </row>
    <row r="122" customFormat="false" ht="15" hidden="false" customHeight="false" outlineLevel="0" collapsed="false">
      <c r="A122" s="31" t="n">
        <v>2023</v>
      </c>
      <c r="B122" s="31" t="n">
        <v>61</v>
      </c>
      <c r="C122" s="27" t="s">
        <v>213</v>
      </c>
      <c r="D122" s="27" t="s">
        <v>363</v>
      </c>
      <c r="E122" s="31" t="n">
        <v>36.4</v>
      </c>
      <c r="F122" s="31" t="n">
        <v>18.98</v>
      </c>
      <c r="G122" s="31" t="n">
        <v>47.4</v>
      </c>
      <c r="H122" s="31" t="n">
        <v>10</v>
      </c>
      <c r="I122" s="31"/>
      <c r="J122" s="31"/>
      <c r="K122" s="31"/>
      <c r="L122" s="31"/>
      <c r="M122" s="31"/>
      <c r="N122" s="31" t="n">
        <v>-40</v>
      </c>
      <c r="O122" s="31"/>
      <c r="P122" s="31" t="n">
        <v>1</v>
      </c>
      <c r="Q122" s="12" t="n">
        <f aca="false">IF(P122=1,SUM(F122:M122)+N122,"")</f>
        <v>36.38</v>
      </c>
      <c r="R122" s="38" t="n">
        <f aca="false">IF(AND(P122=1,ISNUMBER(E122)),Q122-E122,"")</f>
        <v>-0.0200000000000031</v>
      </c>
      <c r="S122" s="31" t="n">
        <v>0</v>
      </c>
      <c r="T122" s="27" t="s">
        <v>364</v>
      </c>
    </row>
    <row r="123" customFormat="false" ht="15" hidden="false" customHeight="false" outlineLevel="0" collapsed="false">
      <c r="A123" s="31" t="n">
        <v>2023</v>
      </c>
      <c r="B123" s="31"/>
      <c r="C123" s="27" t="s">
        <v>253</v>
      </c>
      <c r="D123" s="27" t="s">
        <v>368</v>
      </c>
      <c r="E123" s="31" t="n">
        <v>64</v>
      </c>
      <c r="F123" s="31"/>
      <c r="G123" s="31" t="n">
        <v>64</v>
      </c>
      <c r="H123" s="31"/>
      <c r="I123" s="31"/>
      <c r="J123" s="31"/>
      <c r="K123" s="31"/>
      <c r="L123" s="31"/>
      <c r="M123" s="31"/>
      <c r="N123" s="31"/>
      <c r="O123" s="31"/>
      <c r="P123" s="31" t="n">
        <v>0</v>
      </c>
      <c r="Q123" s="12" t="str">
        <f aca="false">IF(P123=1,SUM(F123:M123)+N123,"")</f>
        <v/>
      </c>
      <c r="R123" s="38" t="str">
        <f aca="false">IF(AND(P123=1,ISNUMBER(E123)),Q123-E123,"")</f>
        <v/>
      </c>
      <c r="S123" s="31" t="n">
        <v>0</v>
      </c>
      <c r="T123" s="27" t="s">
        <v>364</v>
      </c>
    </row>
    <row r="124" customFormat="false" ht="15" hidden="false" customHeight="false" outlineLevel="0" collapsed="false">
      <c r="A124" s="31" t="n">
        <v>2023</v>
      </c>
      <c r="B124" s="31"/>
      <c r="C124" s="27" t="s">
        <v>374</v>
      </c>
      <c r="D124" s="27" t="s">
        <v>368</v>
      </c>
      <c r="E124" s="31" t="n">
        <v>34</v>
      </c>
      <c r="F124" s="31"/>
      <c r="G124" s="31" t="n">
        <v>34</v>
      </c>
      <c r="H124" s="31"/>
      <c r="I124" s="31"/>
      <c r="J124" s="31"/>
      <c r="K124" s="31"/>
      <c r="L124" s="31"/>
      <c r="M124" s="31"/>
      <c r="N124" s="31"/>
      <c r="O124" s="31"/>
      <c r="P124" s="31" t="n">
        <v>0</v>
      </c>
      <c r="Q124" s="12" t="str">
        <f aca="false">IF(P124=1,SUM(F124:M124)+N124,"")</f>
        <v/>
      </c>
      <c r="R124" s="38" t="str">
        <f aca="false">IF(AND(P124=1,ISNUMBER(E124)),Q124-E124,"")</f>
        <v/>
      </c>
      <c r="S124" s="31" t="n">
        <v>0</v>
      </c>
      <c r="T124" s="27" t="s">
        <v>364</v>
      </c>
    </row>
    <row r="125" customFormat="false" ht="15" hidden="false" customHeight="false" outlineLevel="0" collapsed="false">
      <c r="A125" s="31" t="n">
        <v>2023</v>
      </c>
      <c r="B125" s="31"/>
      <c r="C125" s="27" t="s">
        <v>182</v>
      </c>
      <c r="D125" s="27" t="s">
        <v>368</v>
      </c>
      <c r="E125" s="31" t="n">
        <v>46.7</v>
      </c>
      <c r="F125" s="31"/>
      <c r="G125" s="31" t="n">
        <v>46.7</v>
      </c>
      <c r="H125" s="31"/>
      <c r="I125" s="31"/>
      <c r="J125" s="31"/>
      <c r="K125" s="31"/>
      <c r="L125" s="31"/>
      <c r="M125" s="31"/>
      <c r="N125" s="31"/>
      <c r="O125" s="31"/>
      <c r="P125" s="31" t="n">
        <v>0</v>
      </c>
      <c r="Q125" s="12" t="str">
        <f aca="false">IF(P125=1,SUM(F125:M125)+N125,"")</f>
        <v/>
      </c>
      <c r="R125" s="38" t="str">
        <f aca="false">IF(AND(P125=1,ISNUMBER(E125)),Q125-E125,"")</f>
        <v/>
      </c>
      <c r="S125" s="31" t="n">
        <v>0</v>
      </c>
      <c r="T125" s="27" t="s">
        <v>364</v>
      </c>
    </row>
    <row r="126" customFormat="false" ht="15" hidden="false" customHeight="false" outlineLevel="0" collapsed="false">
      <c r="A126" s="31" t="n">
        <v>2023</v>
      </c>
      <c r="B126" s="31"/>
      <c r="C126" s="27" t="s">
        <v>207</v>
      </c>
      <c r="D126" s="27" t="s">
        <v>372</v>
      </c>
      <c r="E126" s="31"/>
      <c r="F126" s="31"/>
      <c r="G126" s="31"/>
      <c r="H126" s="31"/>
      <c r="I126" s="31"/>
      <c r="J126" s="31"/>
      <c r="K126" s="31"/>
      <c r="L126" s="31"/>
      <c r="M126" s="31"/>
      <c r="N126" s="31"/>
      <c r="O126" s="31"/>
      <c r="P126" s="31" t="n">
        <v>0</v>
      </c>
      <c r="Q126" s="12" t="str">
        <f aca="false">IF(P126=1,SUM(F126:M126)+N126,"")</f>
        <v/>
      </c>
      <c r="R126" s="38" t="str">
        <f aca="false">IF(AND(P126=1,ISNUMBER(E126)),Q126-E126,"")</f>
        <v/>
      </c>
      <c r="S126" s="31" t="n">
        <v>0</v>
      </c>
      <c r="T126" s="27" t="s">
        <v>364</v>
      </c>
    </row>
    <row r="127" customFormat="false" ht="15" hidden="false" customHeight="false" outlineLevel="0" collapsed="false">
      <c r="A127" s="31" t="n">
        <v>2023</v>
      </c>
      <c r="B127" s="31"/>
      <c r="C127" s="27" t="s">
        <v>259</v>
      </c>
      <c r="D127" s="27" t="s">
        <v>368</v>
      </c>
      <c r="E127" s="31" t="n">
        <v>32.9</v>
      </c>
      <c r="F127" s="31"/>
      <c r="G127" s="31" t="n">
        <v>32.9</v>
      </c>
      <c r="H127" s="31"/>
      <c r="I127" s="31"/>
      <c r="J127" s="31"/>
      <c r="K127" s="31"/>
      <c r="L127" s="31"/>
      <c r="M127" s="31"/>
      <c r="N127" s="31"/>
      <c r="O127" s="31"/>
      <c r="P127" s="31" t="n">
        <v>0</v>
      </c>
      <c r="Q127" s="12" t="str">
        <f aca="false">IF(P127=1,SUM(F127:M127)+N127,"")</f>
        <v/>
      </c>
      <c r="R127" s="38" t="str">
        <f aca="false">IF(AND(P127=1,ISNUMBER(E127)),Q127-E127,"")</f>
        <v/>
      </c>
      <c r="S127" s="31" t="n">
        <v>0</v>
      </c>
      <c r="T127" s="27" t="s">
        <v>364</v>
      </c>
    </row>
    <row r="128" customFormat="false" ht="15" hidden="false" customHeight="false" outlineLevel="0" collapsed="false">
      <c r="A128" s="31" t="n">
        <v>2023</v>
      </c>
      <c r="B128" s="31"/>
      <c r="C128" s="27" t="s">
        <v>263</v>
      </c>
      <c r="D128" s="27" t="s">
        <v>368</v>
      </c>
      <c r="E128" s="31" t="n">
        <v>41.1</v>
      </c>
      <c r="F128" s="31"/>
      <c r="G128" s="31" t="n">
        <v>41.1</v>
      </c>
      <c r="H128" s="31"/>
      <c r="I128" s="31"/>
      <c r="J128" s="31"/>
      <c r="K128" s="31"/>
      <c r="L128" s="31"/>
      <c r="M128" s="31"/>
      <c r="N128" s="31"/>
      <c r="O128" s="31"/>
      <c r="P128" s="31" t="n">
        <v>0</v>
      </c>
      <c r="Q128" s="12" t="str">
        <f aca="false">IF(P128=1,SUM(F128:M128)+N128,"")</f>
        <v/>
      </c>
      <c r="R128" s="38" t="str">
        <f aca="false">IF(AND(P128=1,ISNUMBER(E128)),Q128-E128,"")</f>
        <v/>
      </c>
      <c r="S128" s="31" t="n">
        <v>0</v>
      </c>
      <c r="T128" s="27" t="s">
        <v>364</v>
      </c>
    </row>
    <row r="129" customFormat="false" ht="15" hidden="false" customHeight="false" outlineLevel="0" collapsed="false">
      <c r="A129" s="31" t="n">
        <v>2023</v>
      </c>
      <c r="B129" s="31"/>
      <c r="C129" s="27" t="s">
        <v>185</v>
      </c>
      <c r="D129" s="27" t="s">
        <v>368</v>
      </c>
      <c r="E129" s="31" t="n">
        <v>63</v>
      </c>
      <c r="F129" s="31"/>
      <c r="G129" s="31" t="n">
        <v>63</v>
      </c>
      <c r="H129" s="31"/>
      <c r="I129" s="31"/>
      <c r="J129" s="31"/>
      <c r="K129" s="31"/>
      <c r="L129" s="31"/>
      <c r="M129" s="31"/>
      <c r="N129" s="31"/>
      <c r="O129" s="31"/>
      <c r="P129" s="31" t="n">
        <v>0</v>
      </c>
      <c r="Q129" s="12" t="str">
        <f aca="false">IF(P129=1,SUM(F129:M129)+N129,"")</f>
        <v/>
      </c>
      <c r="R129" s="38" t="str">
        <f aca="false">IF(AND(P129=1,ISNUMBER(E129)),Q129-E129,"")</f>
        <v/>
      </c>
      <c r="S129" s="31" t="n">
        <v>0</v>
      </c>
      <c r="T129" s="27" t="s">
        <v>364</v>
      </c>
    </row>
    <row r="130" customFormat="false" ht="15" hidden="false" customHeight="false" outlineLevel="0" collapsed="false">
      <c r="A130" s="31" t="n">
        <v>2023</v>
      </c>
      <c r="B130" s="31"/>
      <c r="C130" s="27" t="s">
        <v>240</v>
      </c>
      <c r="D130" s="27" t="s">
        <v>368</v>
      </c>
      <c r="E130" s="31" t="n">
        <v>58.8</v>
      </c>
      <c r="F130" s="31"/>
      <c r="G130" s="31" t="n">
        <v>58.8</v>
      </c>
      <c r="H130" s="31"/>
      <c r="I130" s="31"/>
      <c r="J130" s="31"/>
      <c r="K130" s="31"/>
      <c r="L130" s="31"/>
      <c r="M130" s="31"/>
      <c r="N130" s="31"/>
      <c r="O130" s="31"/>
      <c r="P130" s="31" t="n">
        <v>0</v>
      </c>
      <c r="Q130" s="12" t="str">
        <f aca="false">IF(P130=1,SUM(F130:M130)+N130,"")</f>
        <v/>
      </c>
      <c r="R130" s="38" t="str">
        <f aca="false">IF(AND(P130=1,ISNUMBER(E130)),Q130-E130,"")</f>
        <v/>
      </c>
      <c r="S130" s="31" t="n">
        <v>0</v>
      </c>
      <c r="T130" s="27" t="s">
        <v>364</v>
      </c>
    </row>
    <row r="131" customFormat="false" ht="15" hidden="false" customHeight="false" outlineLevel="0" collapsed="false">
      <c r="A131" s="31" t="n">
        <v>2024</v>
      </c>
      <c r="B131" s="31" t="n">
        <v>1</v>
      </c>
      <c r="C131" s="27" t="s">
        <v>35</v>
      </c>
      <c r="D131" s="27" t="s">
        <v>363</v>
      </c>
      <c r="E131" s="31" t="n">
        <v>760.6</v>
      </c>
      <c r="F131" s="31" t="n">
        <v>76.72</v>
      </c>
      <c r="G131" s="31" t="n">
        <v>42.8</v>
      </c>
      <c r="H131" s="31" t="n">
        <v>110</v>
      </c>
      <c r="I131" s="31" t="n">
        <v>65.37</v>
      </c>
      <c r="J131" s="31" t="n">
        <v>55</v>
      </c>
      <c r="K131" s="31" t="n">
        <v>100.37</v>
      </c>
      <c r="L131" s="31" t="n">
        <v>274.2</v>
      </c>
      <c r="M131" s="31" t="n">
        <v>36.2</v>
      </c>
      <c r="N131" s="31"/>
      <c r="O131" s="31"/>
      <c r="P131" s="31" t="n">
        <v>1</v>
      </c>
      <c r="Q131" s="12" t="n">
        <f aca="false">IF(P131=1,SUM(F131:M131)+N131,"")</f>
        <v>760.66</v>
      </c>
      <c r="R131" s="38" t="n">
        <f aca="false">IF(AND(P131=1,ISNUMBER(E131)),Q131-E131,"")</f>
        <v>0.0599999999999454</v>
      </c>
      <c r="S131" s="31" t="n">
        <v>0</v>
      </c>
      <c r="T131" s="27" t="s">
        <v>364</v>
      </c>
    </row>
    <row r="132" customFormat="false" ht="15" hidden="false" customHeight="false" outlineLevel="0" collapsed="false">
      <c r="A132" s="31" t="n">
        <v>2024</v>
      </c>
      <c r="B132" s="31" t="n">
        <v>2</v>
      </c>
      <c r="C132" s="27" t="s">
        <v>33</v>
      </c>
      <c r="D132" s="27" t="s">
        <v>363</v>
      </c>
      <c r="E132" s="31" t="n">
        <v>757.8</v>
      </c>
      <c r="F132" s="31" t="n">
        <v>71.88</v>
      </c>
      <c r="G132" s="31" t="n">
        <v>29.4</v>
      </c>
      <c r="H132" s="31" t="n">
        <v>140</v>
      </c>
      <c r="I132" s="31" t="n">
        <v>64.49</v>
      </c>
      <c r="J132" s="31" t="n">
        <v>52.27</v>
      </c>
      <c r="K132" s="31" t="n">
        <v>103.82</v>
      </c>
      <c r="L132" s="31" t="n">
        <v>260.5</v>
      </c>
      <c r="M132" s="31" t="n">
        <v>35.5</v>
      </c>
      <c r="N132" s="31"/>
      <c r="O132" s="31"/>
      <c r="P132" s="31" t="n">
        <v>1</v>
      </c>
      <c r="Q132" s="12" t="n">
        <f aca="false">IF(P132=1,SUM(F132:M132)+N132,"")</f>
        <v>757.86</v>
      </c>
      <c r="R132" s="38" t="n">
        <f aca="false">IF(AND(P132=1,ISNUMBER(E132)),Q132-E132,"")</f>
        <v>0.0600000000000591</v>
      </c>
      <c r="S132" s="31" t="n">
        <v>0</v>
      </c>
      <c r="T132" s="27" t="s">
        <v>364</v>
      </c>
    </row>
    <row r="133" customFormat="false" ht="15" hidden="false" customHeight="false" outlineLevel="0" collapsed="false">
      <c r="A133" s="31" t="n">
        <v>2024</v>
      </c>
      <c r="B133" s="31" t="n">
        <v>3</v>
      </c>
      <c r="C133" s="27" t="s">
        <v>152</v>
      </c>
      <c r="D133" s="27" t="s">
        <v>363</v>
      </c>
      <c r="E133" s="31" t="n">
        <v>754.1</v>
      </c>
      <c r="F133" s="31" t="n">
        <v>83.19</v>
      </c>
      <c r="G133" s="31" t="n">
        <v>49.4</v>
      </c>
      <c r="H133" s="31" t="n">
        <v>110</v>
      </c>
      <c r="I133" s="31" t="n">
        <v>34.56</v>
      </c>
      <c r="J133" s="31" t="n">
        <v>51.53</v>
      </c>
      <c r="K133" s="31" t="n">
        <v>117.55</v>
      </c>
      <c r="L133" s="31" t="n">
        <v>256.4</v>
      </c>
      <c r="M133" s="31" t="n">
        <v>51.5</v>
      </c>
      <c r="N133" s="31"/>
      <c r="O133" s="31"/>
      <c r="P133" s="31" t="n">
        <v>1</v>
      </c>
      <c r="Q133" s="12" t="n">
        <f aca="false">IF(P133=1,SUM(F133:M133)+N133,"")</f>
        <v>754.13</v>
      </c>
      <c r="R133" s="38" t="n">
        <f aca="false">IF(AND(P133=1,ISNUMBER(E133)),Q133-E133,"")</f>
        <v>0.0299999999999727</v>
      </c>
      <c r="S133" s="31" t="n">
        <v>0</v>
      </c>
      <c r="T133" s="27" t="s">
        <v>364</v>
      </c>
    </row>
    <row r="134" customFormat="false" ht="15" hidden="false" customHeight="false" outlineLevel="0" collapsed="false">
      <c r="A134" s="31" t="n">
        <v>2024</v>
      </c>
      <c r="B134" s="31" t="n">
        <v>4</v>
      </c>
      <c r="C134" s="27" t="s">
        <v>150</v>
      </c>
      <c r="D134" s="27" t="s">
        <v>363</v>
      </c>
      <c r="E134" s="31" t="n">
        <v>751.7</v>
      </c>
      <c r="F134" s="31" t="n">
        <v>75.08</v>
      </c>
      <c r="G134" s="31" t="n">
        <v>67</v>
      </c>
      <c r="H134" s="31" t="n">
        <v>90</v>
      </c>
      <c r="I134" s="31" t="n">
        <v>100</v>
      </c>
      <c r="J134" s="31" t="n">
        <v>75</v>
      </c>
      <c r="K134" s="31" t="n">
        <v>125</v>
      </c>
      <c r="L134" s="31" t="n">
        <v>234.9</v>
      </c>
      <c r="M134" s="31" t="n">
        <v>34.7</v>
      </c>
      <c r="N134" s="31" t="n">
        <v>-50</v>
      </c>
      <c r="O134" s="31"/>
      <c r="P134" s="31" t="n">
        <v>1</v>
      </c>
      <c r="Q134" s="12" t="n">
        <f aca="false">IF(P134=1,SUM(F134:M134)+N134,"")</f>
        <v>751.68</v>
      </c>
      <c r="R134" s="38" t="n">
        <f aca="false">IF(AND(P134=1,ISNUMBER(E134)),Q134-E134,"")</f>
        <v>-0.0199999999999818</v>
      </c>
      <c r="S134" s="31" t="n">
        <v>0</v>
      </c>
      <c r="T134" s="27" t="s">
        <v>364</v>
      </c>
    </row>
    <row r="135" customFormat="false" ht="15" hidden="false" customHeight="false" outlineLevel="0" collapsed="false">
      <c r="A135" s="31" t="n">
        <v>2024</v>
      </c>
      <c r="B135" s="31" t="n">
        <v>5</v>
      </c>
      <c r="C135" s="27" t="s">
        <v>149</v>
      </c>
      <c r="D135" s="27" t="s">
        <v>363</v>
      </c>
      <c r="E135" s="31" t="n">
        <v>724.3</v>
      </c>
      <c r="F135" s="31" t="n">
        <v>95.2</v>
      </c>
      <c r="G135" s="31" t="n">
        <v>60.7</v>
      </c>
      <c r="H135" s="31" t="n">
        <v>125</v>
      </c>
      <c r="I135" s="31" t="n">
        <v>49.43</v>
      </c>
      <c r="J135" s="31" t="n">
        <v>46.99</v>
      </c>
      <c r="K135" s="31" t="n">
        <v>105.99</v>
      </c>
      <c r="L135" s="31" t="n">
        <v>261</v>
      </c>
      <c r="M135" s="31"/>
      <c r="N135" s="31" t="n">
        <v>-20</v>
      </c>
      <c r="O135" s="31"/>
      <c r="P135" s="31" t="n">
        <v>1</v>
      </c>
      <c r="Q135" s="12" t="n">
        <f aca="false">IF(P135=1,SUM(F135:M135)+N135,"")</f>
        <v>724.31</v>
      </c>
      <c r="R135" s="38" t="n">
        <f aca="false">IF(AND(P135=1,ISNUMBER(E135)),Q135-E135,"")</f>
        <v>0.00999999999999091</v>
      </c>
      <c r="S135" s="31" t="n">
        <v>0</v>
      </c>
      <c r="T135" s="27" t="s">
        <v>364</v>
      </c>
    </row>
    <row r="136" customFormat="false" ht="15" hidden="false" customHeight="false" outlineLevel="0" collapsed="false">
      <c r="A136" s="31" t="n">
        <v>2024</v>
      </c>
      <c r="B136" s="31" t="n">
        <v>6</v>
      </c>
      <c r="C136" s="27" t="s">
        <v>158</v>
      </c>
      <c r="D136" s="27" t="s">
        <v>363</v>
      </c>
      <c r="E136" s="31" t="n">
        <v>711.9</v>
      </c>
      <c r="F136" s="31" t="n">
        <v>76.04</v>
      </c>
      <c r="G136" s="31" t="n">
        <v>69.2</v>
      </c>
      <c r="H136" s="31" t="n">
        <v>95</v>
      </c>
      <c r="I136" s="31" t="n">
        <v>59.11</v>
      </c>
      <c r="J136" s="31" t="n">
        <v>63.9</v>
      </c>
      <c r="K136" s="31" t="n">
        <v>98.83</v>
      </c>
      <c r="L136" s="31" t="n">
        <v>149.9</v>
      </c>
      <c r="M136" s="31" t="n">
        <v>100</v>
      </c>
      <c r="N136" s="31"/>
      <c r="O136" s="31"/>
      <c r="P136" s="31" t="n">
        <v>1</v>
      </c>
      <c r="Q136" s="12" t="n">
        <f aca="false">IF(P136=1,SUM(F136:M136)+N136,"")</f>
        <v>711.98</v>
      </c>
      <c r="R136" s="38" t="n">
        <f aca="false">IF(AND(P136=1,ISNUMBER(E136)),Q136-E136,"")</f>
        <v>0.0800000000000409</v>
      </c>
      <c r="S136" s="31" t="n">
        <v>0</v>
      </c>
      <c r="T136" s="27" t="s">
        <v>364</v>
      </c>
    </row>
    <row r="137" customFormat="false" ht="15" hidden="false" customHeight="false" outlineLevel="0" collapsed="false">
      <c r="A137" s="31" t="n">
        <v>2024</v>
      </c>
      <c r="B137" s="31" t="n">
        <v>7</v>
      </c>
      <c r="C137" s="27" t="s">
        <v>161</v>
      </c>
      <c r="D137" s="27" t="s">
        <v>363</v>
      </c>
      <c r="E137" s="31" t="n">
        <v>700</v>
      </c>
      <c r="F137" s="31" t="n">
        <v>74.44</v>
      </c>
      <c r="G137" s="31" t="n">
        <v>69.2</v>
      </c>
      <c r="H137" s="31" t="n">
        <v>135</v>
      </c>
      <c r="I137" s="31" t="n">
        <v>9.37</v>
      </c>
      <c r="J137" s="31" t="n">
        <v>40.65</v>
      </c>
      <c r="K137" s="31" t="n">
        <v>116.44</v>
      </c>
      <c r="L137" s="31" t="n">
        <v>209</v>
      </c>
      <c r="M137" s="31" t="n">
        <v>45.9</v>
      </c>
      <c r="N137" s="31"/>
      <c r="O137" s="31"/>
      <c r="P137" s="31" t="n">
        <v>1</v>
      </c>
      <c r="Q137" s="12" t="n">
        <f aca="false">IF(P137=1,SUM(F137:M137)+N137,"")</f>
        <v>700</v>
      </c>
      <c r="R137" s="38" t="n">
        <f aca="false">IF(AND(P137=1,ISNUMBER(E137)),Q137-E137,"")</f>
        <v>0</v>
      </c>
      <c r="S137" s="31" t="n">
        <v>0</v>
      </c>
      <c r="T137" s="27" t="s">
        <v>364</v>
      </c>
    </row>
    <row r="138" customFormat="false" ht="15" hidden="false" customHeight="false" outlineLevel="0" collapsed="false">
      <c r="A138" s="31" t="n">
        <v>2024</v>
      </c>
      <c r="B138" s="31" t="n">
        <v>8</v>
      </c>
      <c r="C138" s="27" t="s">
        <v>151</v>
      </c>
      <c r="D138" s="27" t="s">
        <v>363</v>
      </c>
      <c r="E138" s="31" t="n">
        <v>687.6</v>
      </c>
      <c r="F138" s="31" t="n">
        <v>65.36</v>
      </c>
      <c r="G138" s="31" t="n">
        <v>72.4</v>
      </c>
      <c r="H138" s="31" t="n">
        <v>80</v>
      </c>
      <c r="I138" s="31" t="n">
        <v>2</v>
      </c>
      <c r="J138" s="31" t="n">
        <v>63.6</v>
      </c>
      <c r="K138" s="31" t="n">
        <v>97.24</v>
      </c>
      <c r="L138" s="31" t="n">
        <v>275</v>
      </c>
      <c r="M138" s="31" t="n">
        <v>29.4</v>
      </c>
      <c r="N138" s="31"/>
      <c r="O138" s="31"/>
      <c r="P138" s="31" t="n">
        <v>1</v>
      </c>
      <c r="Q138" s="12" t="n">
        <f aca="false">IF(P138=1,SUM(F138:M138)+N138,"")</f>
        <v>685</v>
      </c>
      <c r="R138" s="38" t="n">
        <f aca="false">IF(AND(P138=1,ISNUMBER(E138)),Q138-E138,"")</f>
        <v>-2.60000000000002</v>
      </c>
      <c r="S138" s="31" t="n">
        <v>0</v>
      </c>
      <c r="T138" s="27" t="s">
        <v>375</v>
      </c>
    </row>
    <row r="139" customFormat="false" ht="15" hidden="false" customHeight="false" outlineLevel="0" collapsed="false">
      <c r="A139" s="31" t="n">
        <v>2024</v>
      </c>
      <c r="B139" s="31" t="n">
        <v>9</v>
      </c>
      <c r="C139" s="27" t="s">
        <v>153</v>
      </c>
      <c r="D139" s="27" t="s">
        <v>363</v>
      </c>
      <c r="E139" s="31" t="n">
        <v>682.7</v>
      </c>
      <c r="F139" s="31" t="n">
        <v>75.83</v>
      </c>
      <c r="G139" s="31" t="n">
        <v>45.6</v>
      </c>
      <c r="H139" s="31" t="n">
        <v>125</v>
      </c>
      <c r="I139" s="31" t="n">
        <v>62.45</v>
      </c>
      <c r="J139" s="31" t="n">
        <v>22.39</v>
      </c>
      <c r="K139" s="31" t="n">
        <v>79.76</v>
      </c>
      <c r="L139" s="31" t="n">
        <v>231.6</v>
      </c>
      <c r="M139" s="31" t="n">
        <v>40.1</v>
      </c>
      <c r="N139" s="31"/>
      <c r="O139" s="31"/>
      <c r="P139" s="31" t="n">
        <v>1</v>
      </c>
      <c r="Q139" s="12" t="n">
        <f aca="false">IF(P139=1,SUM(F139:M139)+N139,"")</f>
        <v>682.73</v>
      </c>
      <c r="R139" s="38" t="n">
        <f aca="false">IF(AND(P139=1,ISNUMBER(E139)),Q139-E139,"")</f>
        <v>0.0299999999999727</v>
      </c>
      <c r="S139" s="31" t="n">
        <v>0</v>
      </c>
      <c r="T139" s="27" t="s">
        <v>364</v>
      </c>
    </row>
    <row r="140" customFormat="false" ht="15" hidden="false" customHeight="false" outlineLevel="0" collapsed="false">
      <c r="A140" s="31" t="n">
        <v>2024</v>
      </c>
      <c r="B140" s="31" t="n">
        <v>10</v>
      </c>
      <c r="C140" s="27" t="s">
        <v>154</v>
      </c>
      <c r="D140" s="27" t="s">
        <v>363</v>
      </c>
      <c r="E140" s="31" t="n">
        <v>682.7</v>
      </c>
      <c r="F140" s="31" t="n">
        <v>67.27</v>
      </c>
      <c r="G140" s="31" t="n">
        <v>49.4</v>
      </c>
      <c r="H140" s="31" t="n">
        <v>130</v>
      </c>
      <c r="I140" s="31" t="n">
        <v>52.95</v>
      </c>
      <c r="J140" s="31" t="n">
        <v>40.59</v>
      </c>
      <c r="K140" s="31" t="n">
        <v>86.79</v>
      </c>
      <c r="L140" s="31" t="n">
        <v>203.8</v>
      </c>
      <c r="M140" s="31" t="n">
        <v>51.8</v>
      </c>
      <c r="N140" s="31"/>
      <c r="O140" s="31"/>
      <c r="P140" s="31" t="n">
        <v>1</v>
      </c>
      <c r="Q140" s="12" t="n">
        <f aca="false">IF(P140=1,SUM(F140:M140)+N140,"")</f>
        <v>682.6</v>
      </c>
      <c r="R140" s="38" t="n">
        <f aca="false">IF(AND(P140=1,ISNUMBER(E140)),Q140-E140,"")</f>
        <v>-0.100000000000023</v>
      </c>
      <c r="S140" s="31" t="n">
        <v>0</v>
      </c>
      <c r="T140" s="27" t="s">
        <v>364</v>
      </c>
    </row>
    <row r="141" customFormat="false" ht="15" hidden="false" customHeight="false" outlineLevel="0" collapsed="false">
      <c r="A141" s="31" t="n">
        <v>2024</v>
      </c>
      <c r="B141" s="31" t="n">
        <v>11</v>
      </c>
      <c r="C141" s="27" t="s">
        <v>162</v>
      </c>
      <c r="D141" s="27" t="s">
        <v>363</v>
      </c>
      <c r="E141" s="31" t="n">
        <v>681.9</v>
      </c>
      <c r="F141" s="31" t="n">
        <v>61.42</v>
      </c>
      <c r="G141" s="31" t="n">
        <v>46.9</v>
      </c>
      <c r="H141" s="31" t="n">
        <v>100</v>
      </c>
      <c r="I141" s="31" t="n">
        <v>51.52</v>
      </c>
      <c r="J141" s="31" t="n">
        <v>49.73</v>
      </c>
      <c r="K141" s="31" t="n">
        <v>101.83</v>
      </c>
      <c r="L141" s="31" t="n">
        <v>211.2</v>
      </c>
      <c r="M141" s="31" t="n">
        <v>59.4</v>
      </c>
      <c r="N141" s="31"/>
      <c r="O141" s="31"/>
      <c r="P141" s="31" t="n">
        <v>1</v>
      </c>
      <c r="Q141" s="12" t="n">
        <f aca="false">IF(P141=1,SUM(F141:M141)+N141,"")</f>
        <v>682</v>
      </c>
      <c r="R141" s="38" t="n">
        <f aca="false">IF(AND(P141=1,ISNUMBER(E141)),Q141-E141,"")</f>
        <v>0.100000000000023</v>
      </c>
      <c r="S141" s="31" t="n">
        <v>0</v>
      </c>
      <c r="T141" s="27" t="s">
        <v>364</v>
      </c>
    </row>
    <row r="142" customFormat="false" ht="15" hidden="false" customHeight="false" outlineLevel="0" collapsed="false">
      <c r="A142" s="31" t="n">
        <v>2024</v>
      </c>
      <c r="B142" s="31" t="n">
        <v>12</v>
      </c>
      <c r="C142" s="27" t="s">
        <v>163</v>
      </c>
      <c r="D142" s="27" t="s">
        <v>363</v>
      </c>
      <c r="E142" s="31" t="n">
        <v>647.5</v>
      </c>
      <c r="F142" s="31" t="n">
        <v>77.23</v>
      </c>
      <c r="G142" s="31" t="n">
        <v>47.4</v>
      </c>
      <c r="H142" s="31" t="n">
        <v>135</v>
      </c>
      <c r="I142" s="31" t="n">
        <v>29.58</v>
      </c>
      <c r="J142" s="31" t="n">
        <v>56.67</v>
      </c>
      <c r="K142" s="31" t="n">
        <v>103.61</v>
      </c>
      <c r="L142" s="31" t="n">
        <v>124.7</v>
      </c>
      <c r="M142" s="31" t="n">
        <v>73.3</v>
      </c>
      <c r="N142" s="31"/>
      <c r="O142" s="31"/>
      <c r="P142" s="31" t="n">
        <v>1</v>
      </c>
      <c r="Q142" s="12" t="n">
        <f aca="false">IF(P142=1,SUM(F142:M142)+N142,"")</f>
        <v>647.49</v>
      </c>
      <c r="R142" s="38" t="n">
        <f aca="false">IF(AND(P142=1,ISNUMBER(E142)),Q142-E142,"")</f>
        <v>-0.00999999999999091</v>
      </c>
      <c r="S142" s="31" t="n">
        <v>0</v>
      </c>
      <c r="T142" s="27" t="s">
        <v>364</v>
      </c>
    </row>
    <row r="143" customFormat="false" ht="15" hidden="false" customHeight="false" outlineLevel="0" collapsed="false">
      <c r="A143" s="31" t="n">
        <v>2024</v>
      </c>
      <c r="B143" s="31" t="n">
        <v>13</v>
      </c>
      <c r="C143" s="27" t="s">
        <v>164</v>
      </c>
      <c r="D143" s="27" t="s">
        <v>363</v>
      </c>
      <c r="E143" s="31" t="n">
        <v>627.9</v>
      </c>
      <c r="F143" s="31" t="n">
        <v>56.42</v>
      </c>
      <c r="G143" s="31" t="n">
        <v>40.4</v>
      </c>
      <c r="H143" s="31" t="n">
        <v>85</v>
      </c>
      <c r="I143" s="31" t="n">
        <v>51.23</v>
      </c>
      <c r="J143" s="31" t="n">
        <v>40.1</v>
      </c>
      <c r="K143" s="31" t="n">
        <v>74.6</v>
      </c>
      <c r="L143" s="31" t="n">
        <v>235.8</v>
      </c>
      <c r="M143" s="31" t="n">
        <v>44.3</v>
      </c>
      <c r="N143" s="31"/>
      <c r="O143" s="31"/>
      <c r="P143" s="31" t="n">
        <v>1</v>
      </c>
      <c r="Q143" s="12" t="n">
        <f aca="false">IF(P143=1,SUM(F143:M143)+N143,"")</f>
        <v>627.85</v>
      </c>
      <c r="R143" s="38" t="n">
        <f aca="false">IF(AND(P143=1,ISNUMBER(E143)),Q143-E143,"")</f>
        <v>-0.0499999999999545</v>
      </c>
      <c r="S143" s="31" t="n">
        <v>0</v>
      </c>
      <c r="T143" s="27" t="s">
        <v>364</v>
      </c>
    </row>
    <row r="144" customFormat="false" ht="15" hidden="false" customHeight="false" outlineLevel="0" collapsed="false">
      <c r="A144" s="16" t="n">
        <v>2024</v>
      </c>
      <c r="B144" s="16" t="n">
        <v>14</v>
      </c>
      <c r="C144" s="36" t="s">
        <v>148</v>
      </c>
      <c r="D144" s="36" t="s">
        <v>363</v>
      </c>
      <c r="E144" s="16" t="n">
        <v>589.9</v>
      </c>
      <c r="F144" s="16" t="n">
        <v>51</v>
      </c>
      <c r="G144" s="16" t="n">
        <v>61.8</v>
      </c>
      <c r="H144" s="16" t="n">
        <v>75</v>
      </c>
      <c r="I144" s="16" t="n">
        <v>51.64</v>
      </c>
      <c r="J144" s="16" t="n">
        <v>50.53</v>
      </c>
      <c r="K144" s="16" t="n">
        <v>79.22</v>
      </c>
      <c r="L144" s="16" t="n">
        <v>186.5</v>
      </c>
      <c r="M144" s="16" t="n">
        <v>34.3</v>
      </c>
      <c r="N144" s="16"/>
      <c r="O144" s="16"/>
      <c r="P144" s="16" t="n">
        <v>1</v>
      </c>
      <c r="Q144" s="19" t="n">
        <f aca="false">IF(P144=1,SUM(F144:M144)+N144,"")</f>
        <v>589.99</v>
      </c>
      <c r="R144" s="39" t="n">
        <f aca="false">IF(AND(P144=1,ISNUMBER(E144)),Q144-E144,"")</f>
        <v>0.0900000000000318</v>
      </c>
      <c r="S144" s="45" t="n">
        <v>1</v>
      </c>
      <c r="T144" s="46" t="s">
        <v>364</v>
      </c>
    </row>
    <row r="145" customFormat="false" ht="15" hidden="false" customHeight="false" outlineLevel="0" collapsed="false">
      <c r="A145" s="31" t="n">
        <v>2024</v>
      </c>
      <c r="B145" s="31" t="n">
        <v>15</v>
      </c>
      <c r="C145" s="27" t="s">
        <v>157</v>
      </c>
      <c r="D145" s="27" t="s">
        <v>363</v>
      </c>
      <c r="E145" s="31" t="n">
        <v>568.7</v>
      </c>
      <c r="F145" s="31" t="n">
        <v>96.87</v>
      </c>
      <c r="G145" s="31" t="n">
        <v>75</v>
      </c>
      <c r="H145" s="31" t="n">
        <v>85</v>
      </c>
      <c r="I145" s="31" t="n">
        <v>26.69</v>
      </c>
      <c r="J145" s="31" t="n">
        <v>34.26</v>
      </c>
      <c r="K145" s="31" t="n">
        <v>102.61</v>
      </c>
      <c r="L145" s="31" t="n">
        <v>92.1</v>
      </c>
      <c r="M145" s="31" t="n">
        <v>56.3</v>
      </c>
      <c r="N145" s="31"/>
      <c r="O145" s="31"/>
      <c r="P145" s="31" t="n">
        <v>1</v>
      </c>
      <c r="Q145" s="12" t="n">
        <f aca="false">IF(P145=1,SUM(F145:M145)+N145,"")</f>
        <v>568.83</v>
      </c>
      <c r="R145" s="38" t="n">
        <f aca="false">IF(AND(P145=1,ISNUMBER(E145)),Q145-E145,"")</f>
        <v>0.129999999999995</v>
      </c>
      <c r="S145" s="31" t="n">
        <v>0</v>
      </c>
      <c r="T145" s="27" t="s">
        <v>364</v>
      </c>
    </row>
    <row r="146" customFormat="false" ht="15" hidden="false" customHeight="false" outlineLevel="0" collapsed="false">
      <c r="A146" s="31" t="n">
        <v>2024</v>
      </c>
      <c r="B146" s="31" t="n">
        <v>16</v>
      </c>
      <c r="C146" s="27" t="s">
        <v>156</v>
      </c>
      <c r="D146" s="27" t="s">
        <v>363</v>
      </c>
      <c r="E146" s="31" t="n">
        <v>524.6</v>
      </c>
      <c r="F146" s="31" t="n">
        <v>90.12</v>
      </c>
      <c r="G146" s="31" t="n">
        <v>57.6</v>
      </c>
      <c r="H146" s="31" t="n">
        <v>110</v>
      </c>
      <c r="I146" s="31"/>
      <c r="J146" s="31"/>
      <c r="K146" s="31" t="n">
        <v>16.41</v>
      </c>
      <c r="L146" s="31" t="n">
        <v>250.5</v>
      </c>
      <c r="M146" s="31"/>
      <c r="N146" s="31"/>
      <c r="O146" s="31"/>
      <c r="P146" s="31" t="n">
        <v>1</v>
      </c>
      <c r="Q146" s="12" t="n">
        <f aca="false">IF(P146=1,SUM(F146:M146)+N146,"")</f>
        <v>524.63</v>
      </c>
      <c r="R146" s="38" t="n">
        <f aca="false">IF(AND(P146=1,ISNUMBER(E146)),Q146-E146,"")</f>
        <v>0.0299999999999727</v>
      </c>
      <c r="S146" s="31" t="n">
        <v>0</v>
      </c>
      <c r="T146" s="27" t="s">
        <v>364</v>
      </c>
    </row>
    <row r="147" customFormat="false" ht="15" hidden="false" customHeight="false" outlineLevel="0" collapsed="false">
      <c r="A147" s="31" t="n">
        <v>2024</v>
      </c>
      <c r="B147" s="31" t="n">
        <v>17</v>
      </c>
      <c r="C147" s="27" t="s">
        <v>182</v>
      </c>
      <c r="D147" s="27" t="s">
        <v>363</v>
      </c>
      <c r="E147" s="31" t="n">
        <v>524.1</v>
      </c>
      <c r="F147" s="31" t="n">
        <v>48.72</v>
      </c>
      <c r="G147" s="31" t="n">
        <v>20</v>
      </c>
      <c r="H147" s="31" t="n">
        <v>60</v>
      </c>
      <c r="I147" s="31" t="n">
        <v>32.07</v>
      </c>
      <c r="J147" s="31" t="n">
        <v>39.8</v>
      </c>
      <c r="K147" s="31" t="n">
        <v>71.89</v>
      </c>
      <c r="L147" s="31" t="n">
        <v>164.5</v>
      </c>
      <c r="M147" s="31" t="n">
        <v>87.1</v>
      </c>
      <c r="N147" s="31"/>
      <c r="O147" s="31"/>
      <c r="P147" s="31" t="n">
        <v>1</v>
      </c>
      <c r="Q147" s="12" t="n">
        <f aca="false">IF(P147=1,SUM(F147:M147)+N147,"")</f>
        <v>524.08</v>
      </c>
      <c r="R147" s="38" t="n">
        <f aca="false">IF(AND(P147=1,ISNUMBER(E147)),Q147-E147,"")</f>
        <v>-0.0199999999999818</v>
      </c>
      <c r="S147" s="31" t="n">
        <v>0</v>
      </c>
      <c r="T147" s="27" t="s">
        <v>364</v>
      </c>
    </row>
    <row r="148" customFormat="false" ht="15" hidden="false" customHeight="false" outlineLevel="0" collapsed="false">
      <c r="A148" s="31" t="n">
        <v>2024</v>
      </c>
      <c r="B148" s="31" t="n">
        <v>18</v>
      </c>
      <c r="C148" s="27" t="s">
        <v>147</v>
      </c>
      <c r="D148" s="27" t="s">
        <v>363</v>
      </c>
      <c r="E148" s="31" t="n">
        <v>520.7</v>
      </c>
      <c r="F148" s="31" t="n">
        <v>73.99</v>
      </c>
      <c r="G148" s="31" t="n">
        <v>58.8</v>
      </c>
      <c r="H148" s="31" t="n">
        <v>137</v>
      </c>
      <c r="I148" s="31" t="n">
        <v>46.15</v>
      </c>
      <c r="J148" s="31"/>
      <c r="K148" s="31"/>
      <c r="L148" s="31" t="n">
        <v>153.2</v>
      </c>
      <c r="M148" s="31" t="n">
        <v>51.6</v>
      </c>
      <c r="N148" s="31"/>
      <c r="O148" s="31"/>
      <c r="P148" s="31" t="n">
        <v>1</v>
      </c>
      <c r="Q148" s="12" t="n">
        <f aca="false">IF(P148=1,SUM(F148:M148)+N148,"")</f>
        <v>520.74</v>
      </c>
      <c r="R148" s="38" t="n">
        <f aca="false">IF(AND(P148=1,ISNUMBER(E148)),Q148-E148,"")</f>
        <v>0.0399999999999636</v>
      </c>
      <c r="S148" s="31" t="n">
        <v>0</v>
      </c>
      <c r="T148" s="27" t="s">
        <v>364</v>
      </c>
    </row>
    <row r="149" customFormat="false" ht="15" hidden="false" customHeight="false" outlineLevel="0" collapsed="false">
      <c r="A149" s="31" t="n">
        <v>2024</v>
      </c>
      <c r="B149" s="31" t="n">
        <v>19</v>
      </c>
      <c r="C149" s="27" t="s">
        <v>186</v>
      </c>
      <c r="D149" s="27" t="s">
        <v>363</v>
      </c>
      <c r="E149" s="31" t="n">
        <v>496.6</v>
      </c>
      <c r="F149" s="31" t="n">
        <v>84.23</v>
      </c>
      <c r="G149" s="31" t="n">
        <v>64.4</v>
      </c>
      <c r="H149" s="31" t="n">
        <v>80</v>
      </c>
      <c r="I149" s="31" t="n">
        <v>8.98</v>
      </c>
      <c r="J149" s="31" t="n">
        <v>28.94</v>
      </c>
      <c r="K149" s="31"/>
      <c r="L149" s="31" t="n">
        <v>176.4</v>
      </c>
      <c r="M149" s="31" t="n">
        <v>53.7</v>
      </c>
      <c r="N149" s="31"/>
      <c r="O149" s="31"/>
      <c r="P149" s="31" t="n">
        <v>1</v>
      </c>
      <c r="Q149" s="12" t="n">
        <f aca="false">IF(P149=1,SUM(F149:M149)+N149,"")</f>
        <v>550.873</v>
      </c>
      <c r="R149" s="38" t="n">
        <f aca="false">IF(AND(P149=1,ISNUMBER(E149)),Q149-E149,"")</f>
        <v>54.273</v>
      </c>
      <c r="S149" s="31" t="n">
        <v>0</v>
      </c>
      <c r="T149" s="27" t="s">
        <v>364</v>
      </c>
    </row>
    <row r="150" customFormat="false" ht="15" hidden="false" customHeight="false" outlineLevel="0" collapsed="false">
      <c r="A150" s="31" t="n">
        <v>2024</v>
      </c>
      <c r="B150" s="31" t="n">
        <v>20</v>
      </c>
      <c r="C150" s="27" t="s">
        <v>216</v>
      </c>
      <c r="D150" s="27" t="s">
        <v>363</v>
      </c>
      <c r="E150" s="31" t="n">
        <v>470.6</v>
      </c>
      <c r="F150" s="31" t="n">
        <v>37.38</v>
      </c>
      <c r="G150" s="31" t="n">
        <v>29.7</v>
      </c>
      <c r="H150" s="31" t="n">
        <v>60</v>
      </c>
      <c r="I150" s="31" t="n">
        <v>4.5</v>
      </c>
      <c r="J150" s="31" t="n">
        <v>36.52</v>
      </c>
      <c r="K150" s="31" t="n">
        <v>63.05</v>
      </c>
      <c r="L150" s="31" t="n">
        <v>164.3</v>
      </c>
      <c r="M150" s="31" t="n">
        <v>75.1</v>
      </c>
      <c r="N150" s="31"/>
      <c r="O150" s="31"/>
      <c r="P150" s="31" t="n">
        <v>1</v>
      </c>
      <c r="Q150" s="12" t="n">
        <f aca="false">IF(P150=1,SUM(F150:M150)+N150,"")</f>
        <v>470.55</v>
      </c>
      <c r="R150" s="38" t="n">
        <f aca="false">IF(AND(P150=1,ISNUMBER(E150)),Q150-E150,"")</f>
        <v>-0.0500000000000114</v>
      </c>
      <c r="S150" s="31" t="n">
        <v>0</v>
      </c>
      <c r="T150" s="27" t="s">
        <v>364</v>
      </c>
    </row>
    <row r="151" customFormat="false" ht="15" hidden="false" customHeight="false" outlineLevel="0" collapsed="false">
      <c r="A151" s="31" t="n">
        <v>2024</v>
      </c>
      <c r="B151" s="31" t="n">
        <v>21</v>
      </c>
      <c r="C151" s="27" t="s">
        <v>36</v>
      </c>
      <c r="D151" s="27" t="s">
        <v>363</v>
      </c>
      <c r="E151" s="31" t="n">
        <v>450.7</v>
      </c>
      <c r="F151" s="31" t="n">
        <v>77.55</v>
      </c>
      <c r="G151" s="31" t="n">
        <v>47.9</v>
      </c>
      <c r="H151" s="31" t="n">
        <v>85</v>
      </c>
      <c r="I151" s="31" t="n">
        <v>69.95</v>
      </c>
      <c r="J151" s="31" t="n">
        <v>61.61</v>
      </c>
      <c r="K151" s="31" t="n">
        <v>108.71</v>
      </c>
      <c r="L151" s="31"/>
      <c r="M151" s="31"/>
      <c r="N151" s="31"/>
      <c r="O151" s="31"/>
      <c r="P151" s="31" t="n">
        <v>1</v>
      </c>
      <c r="Q151" s="12" t="n">
        <f aca="false">IF(P151=1,SUM(F151:M151)+N151,"")</f>
        <v>450.72</v>
      </c>
      <c r="R151" s="38" t="n">
        <f aca="false">IF(AND(P151=1,ISNUMBER(E151)),Q151-E151,"")</f>
        <v>0.0199999999999818</v>
      </c>
      <c r="S151" s="31" t="n">
        <v>0</v>
      </c>
      <c r="T151" s="27" t="s">
        <v>364</v>
      </c>
    </row>
    <row r="152" customFormat="false" ht="15" hidden="false" customHeight="false" outlineLevel="0" collapsed="false">
      <c r="A152" s="31" t="n">
        <v>2024</v>
      </c>
      <c r="B152" s="31" t="n">
        <v>22</v>
      </c>
      <c r="C152" s="27" t="s">
        <v>208</v>
      </c>
      <c r="D152" s="27" t="s">
        <v>363</v>
      </c>
      <c r="E152" s="31" t="n">
        <v>391.3</v>
      </c>
      <c r="F152" s="31" t="n">
        <v>83.85</v>
      </c>
      <c r="G152" s="31" t="n">
        <v>45.6</v>
      </c>
      <c r="H152" s="31" t="n">
        <v>75</v>
      </c>
      <c r="I152" s="31" t="n">
        <v>36.13</v>
      </c>
      <c r="J152" s="31" t="n">
        <v>44.24</v>
      </c>
      <c r="K152" s="31" t="n">
        <v>105.41</v>
      </c>
      <c r="L152" s="31" t="n">
        <v>1</v>
      </c>
      <c r="M152" s="31"/>
      <c r="N152" s="31"/>
      <c r="O152" s="31"/>
      <c r="P152" s="31" t="n">
        <v>1</v>
      </c>
      <c r="Q152" s="12" t="n">
        <f aca="false">IF(P152=1,SUM(F152:M152)+N152,"")</f>
        <v>391.23</v>
      </c>
      <c r="R152" s="38" t="n">
        <f aca="false">IF(AND(P152=1,ISNUMBER(E152)),Q152-E152,"")</f>
        <v>-0.0699999999999932</v>
      </c>
      <c r="S152" s="31" t="n">
        <v>0</v>
      </c>
      <c r="T152" s="27" t="s">
        <v>364</v>
      </c>
    </row>
    <row r="153" customFormat="false" ht="15" hidden="false" customHeight="false" outlineLevel="0" collapsed="false">
      <c r="A153" s="31" t="n">
        <v>2024</v>
      </c>
      <c r="B153" s="31" t="n">
        <v>23</v>
      </c>
      <c r="C153" s="27" t="s">
        <v>200</v>
      </c>
      <c r="D153" s="27" t="s">
        <v>363</v>
      </c>
      <c r="E153" s="31" t="n">
        <v>391</v>
      </c>
      <c r="F153" s="31" t="n">
        <v>90.8</v>
      </c>
      <c r="G153" s="31" t="n">
        <v>47.9</v>
      </c>
      <c r="H153" s="31" t="n">
        <v>80</v>
      </c>
      <c r="I153" s="31" t="n">
        <v>19.66</v>
      </c>
      <c r="J153" s="31" t="n">
        <v>35.18</v>
      </c>
      <c r="K153" s="31" t="n">
        <v>68.18</v>
      </c>
      <c r="L153" s="31" t="n">
        <v>14</v>
      </c>
      <c r="M153" s="31" t="n">
        <v>35.2</v>
      </c>
      <c r="N153" s="31"/>
      <c r="O153" s="31"/>
      <c r="P153" s="31" t="n">
        <v>1</v>
      </c>
      <c r="Q153" s="12" t="n">
        <f aca="false">IF(P153=1,SUM(F153:M153)+N153,"")</f>
        <v>390.92</v>
      </c>
      <c r="R153" s="38" t="n">
        <f aca="false">IF(AND(P153=1,ISNUMBER(E153)),Q153-E153,"")</f>
        <v>-0.0799999999999841</v>
      </c>
      <c r="S153" s="31" t="n">
        <v>0</v>
      </c>
      <c r="T153" s="27" t="s">
        <v>364</v>
      </c>
    </row>
    <row r="154" customFormat="false" ht="15" hidden="false" customHeight="false" outlineLevel="0" collapsed="false">
      <c r="A154" s="31" t="n">
        <v>2024</v>
      </c>
      <c r="B154" s="31" t="n">
        <v>24</v>
      </c>
      <c r="C154" s="27" t="s">
        <v>168</v>
      </c>
      <c r="D154" s="27" t="s">
        <v>363</v>
      </c>
      <c r="E154" s="31" t="n">
        <v>373.3</v>
      </c>
      <c r="F154" s="31" t="n">
        <v>65.69</v>
      </c>
      <c r="G154" s="31" t="n">
        <v>44.5</v>
      </c>
      <c r="H154" s="31" t="n">
        <v>95</v>
      </c>
      <c r="I154" s="31" t="n">
        <v>39.91</v>
      </c>
      <c r="J154" s="31" t="n">
        <v>20.27</v>
      </c>
      <c r="K154" s="31" t="n">
        <v>88.92</v>
      </c>
      <c r="L154" s="31" t="n">
        <v>19</v>
      </c>
      <c r="M154" s="31"/>
      <c r="N154" s="31"/>
      <c r="O154" s="31"/>
      <c r="P154" s="31" t="n">
        <v>1</v>
      </c>
      <c r="Q154" s="12" t="n">
        <f aca="false">IF(P154=1,SUM(F154:M154)+N154,"")</f>
        <v>373.29</v>
      </c>
      <c r="R154" s="38" t="n">
        <f aca="false">IF(AND(P154=1,ISNUMBER(E154)),Q154-E154,"")</f>
        <v>-0.00999999999999091</v>
      </c>
      <c r="S154" s="31" t="n">
        <v>0</v>
      </c>
      <c r="T154" s="27" t="s">
        <v>364</v>
      </c>
    </row>
    <row r="155" customFormat="false" ht="15" hidden="false" customHeight="false" outlineLevel="0" collapsed="false">
      <c r="A155" s="31" t="n">
        <v>2024</v>
      </c>
      <c r="B155" s="31" t="n">
        <v>25</v>
      </c>
      <c r="C155" s="27" t="s">
        <v>224</v>
      </c>
      <c r="D155" s="27" t="s">
        <v>363</v>
      </c>
      <c r="E155" s="31" t="n">
        <v>363.4</v>
      </c>
      <c r="F155" s="31" t="n">
        <v>30.21</v>
      </c>
      <c r="G155" s="31" t="n">
        <v>43.6</v>
      </c>
      <c r="H155" s="31" t="n">
        <v>75</v>
      </c>
      <c r="I155" s="31" t="n">
        <v>47.14</v>
      </c>
      <c r="J155" s="31" t="n">
        <v>30.81</v>
      </c>
      <c r="K155" s="31" t="n">
        <v>61.54</v>
      </c>
      <c r="L155" s="31" t="n">
        <v>46.4</v>
      </c>
      <c r="M155" s="31" t="n">
        <v>28.7</v>
      </c>
      <c r="N155" s="31"/>
      <c r="O155" s="31"/>
      <c r="P155" s="31" t="n">
        <v>1</v>
      </c>
      <c r="Q155" s="12" t="n">
        <f aca="false">IF(P155=1,SUM(F155:M155)+N155,"")</f>
        <v>363.4</v>
      </c>
      <c r="R155" s="38" t="n">
        <f aca="false">IF(AND(P155=1,ISNUMBER(E155)),Q155-E155,"")</f>
        <v>0</v>
      </c>
      <c r="S155" s="31" t="n">
        <v>0</v>
      </c>
      <c r="T155" s="27" t="s">
        <v>364</v>
      </c>
    </row>
    <row r="156" customFormat="false" ht="15" hidden="false" customHeight="false" outlineLevel="0" collapsed="false">
      <c r="A156" s="31" t="n">
        <v>2024</v>
      </c>
      <c r="B156" s="31" t="n">
        <v>26</v>
      </c>
      <c r="C156" s="27" t="s">
        <v>167</v>
      </c>
      <c r="D156" s="27" t="s">
        <v>363</v>
      </c>
      <c r="E156" s="31" t="n">
        <v>356.1</v>
      </c>
      <c r="F156" s="31" t="n">
        <v>69.97</v>
      </c>
      <c r="G156" s="31" t="n">
        <v>71.6</v>
      </c>
      <c r="H156" s="31" t="n">
        <v>120</v>
      </c>
      <c r="I156" s="31" t="n">
        <v>19.57</v>
      </c>
      <c r="J156" s="31" t="n">
        <v>49.86</v>
      </c>
      <c r="K156" s="31"/>
      <c r="L156" s="31" t="n">
        <v>25</v>
      </c>
      <c r="M156" s="31"/>
      <c r="N156" s="31"/>
      <c r="O156" s="31"/>
      <c r="P156" s="31" t="n">
        <v>1</v>
      </c>
      <c r="Q156" s="12" t="n">
        <f aca="false">IF(P156=1,SUM(F156:M156)+N156,"")</f>
        <v>404.236</v>
      </c>
      <c r="R156" s="38" t="n">
        <f aca="false">IF(AND(P156=1,ISNUMBER(E156)),Q156-E156,"")</f>
        <v>48.136</v>
      </c>
      <c r="S156" s="31" t="n">
        <v>0</v>
      </c>
      <c r="T156" s="27" t="s">
        <v>364</v>
      </c>
    </row>
    <row r="157" customFormat="false" ht="15" hidden="false" customHeight="false" outlineLevel="0" collapsed="false">
      <c r="A157" s="31" t="n">
        <v>2024</v>
      </c>
      <c r="B157" s="31" t="n">
        <v>27</v>
      </c>
      <c r="C157" s="27" t="s">
        <v>183</v>
      </c>
      <c r="D157" s="27" t="s">
        <v>363</v>
      </c>
      <c r="E157" s="31" t="n">
        <v>355.2</v>
      </c>
      <c r="F157" s="31" t="n">
        <v>81.15</v>
      </c>
      <c r="G157" s="31" t="n">
        <v>46.7</v>
      </c>
      <c r="H157" s="31" t="n">
        <v>65</v>
      </c>
      <c r="I157" s="31" t="n">
        <v>31.3</v>
      </c>
      <c r="J157" s="31" t="n">
        <v>35.18</v>
      </c>
      <c r="K157" s="31" t="n">
        <v>92.84</v>
      </c>
      <c r="L157" s="31" t="n">
        <v>3</v>
      </c>
      <c r="M157" s="31"/>
      <c r="N157" s="31"/>
      <c r="O157" s="31"/>
      <c r="P157" s="31" t="n">
        <v>1</v>
      </c>
      <c r="Q157" s="12" t="n">
        <f aca="false">IF(P157=1,SUM(F157:M157)+N157,"")</f>
        <v>355.17</v>
      </c>
      <c r="R157" s="38" t="n">
        <f aca="false">IF(AND(P157=1,ISNUMBER(E157)),Q157-E157,"")</f>
        <v>-0.0299999999999727</v>
      </c>
      <c r="S157" s="31" t="n">
        <v>0</v>
      </c>
      <c r="T157" s="27" t="s">
        <v>364</v>
      </c>
    </row>
    <row r="158" customFormat="false" ht="15" hidden="false" customHeight="false" outlineLevel="0" collapsed="false">
      <c r="A158" s="31" t="n">
        <v>2024</v>
      </c>
      <c r="B158" s="31" t="n">
        <v>28</v>
      </c>
      <c r="C158" s="27" t="s">
        <v>199</v>
      </c>
      <c r="D158" s="27" t="s">
        <v>363</v>
      </c>
      <c r="E158" s="31" t="n">
        <v>355.1</v>
      </c>
      <c r="F158" s="31" t="n">
        <v>74.38</v>
      </c>
      <c r="G158" s="31" t="n">
        <v>36.1</v>
      </c>
      <c r="H158" s="31" t="n">
        <v>85</v>
      </c>
      <c r="I158" s="31" t="n">
        <v>26.09</v>
      </c>
      <c r="J158" s="31" t="n">
        <v>21.78</v>
      </c>
      <c r="K158" s="31" t="n">
        <v>43.63</v>
      </c>
      <c r="L158" s="31" t="n">
        <v>35.2</v>
      </c>
      <c r="M158" s="31" t="n">
        <v>33</v>
      </c>
      <c r="N158" s="31"/>
      <c r="O158" s="31"/>
      <c r="P158" s="31" t="n">
        <v>1</v>
      </c>
      <c r="Q158" s="12" t="n">
        <f aca="false">IF(P158=1,SUM(F158:M158)+N158,"")</f>
        <v>355.18</v>
      </c>
      <c r="R158" s="38" t="n">
        <f aca="false">IF(AND(P158=1,ISNUMBER(E158)),Q158-E158,"")</f>
        <v>0.0799999999999841</v>
      </c>
      <c r="S158" s="31" t="n">
        <v>0</v>
      </c>
      <c r="T158" s="27" t="s">
        <v>364</v>
      </c>
    </row>
    <row r="159" customFormat="false" ht="15" hidden="false" customHeight="false" outlineLevel="0" collapsed="false">
      <c r="A159" s="31" t="n">
        <v>2024</v>
      </c>
      <c r="B159" s="31" t="n">
        <v>29</v>
      </c>
      <c r="C159" s="27" t="s">
        <v>169</v>
      </c>
      <c r="D159" s="27" t="s">
        <v>363</v>
      </c>
      <c r="E159" s="31" t="n">
        <v>299.3</v>
      </c>
      <c r="F159" s="31" t="n">
        <v>76.52</v>
      </c>
      <c r="G159" s="31" t="n">
        <v>72.7</v>
      </c>
      <c r="H159" s="31" t="n">
        <v>150</v>
      </c>
      <c r="I159" s="31"/>
      <c r="J159" s="31"/>
      <c r="K159" s="31"/>
      <c r="L159" s="31"/>
      <c r="M159" s="31"/>
      <c r="N159" s="31"/>
      <c r="O159" s="31"/>
      <c r="P159" s="31" t="n">
        <v>1</v>
      </c>
      <c r="Q159" s="12" t="n">
        <f aca="false">IF(P159=1,SUM(F159:M159)+N159,"")</f>
        <v>299.22</v>
      </c>
      <c r="R159" s="38" t="n">
        <f aca="false">IF(AND(P159=1,ISNUMBER(E159)),Q159-E159,"")</f>
        <v>-0.0799999999999841</v>
      </c>
      <c r="S159" s="31" t="n">
        <v>0</v>
      </c>
      <c r="T159" s="27" t="s">
        <v>364</v>
      </c>
    </row>
    <row r="160" customFormat="false" ht="15" hidden="false" customHeight="false" outlineLevel="0" collapsed="false">
      <c r="A160" s="31" t="n">
        <v>2024</v>
      </c>
      <c r="B160" s="31" t="n">
        <v>30</v>
      </c>
      <c r="C160" s="27" t="s">
        <v>327</v>
      </c>
      <c r="D160" s="27" t="s">
        <v>363</v>
      </c>
      <c r="E160" s="31" t="n">
        <v>297.7</v>
      </c>
      <c r="F160" s="31" t="n">
        <v>70.91</v>
      </c>
      <c r="G160" s="31" t="n">
        <v>50.8</v>
      </c>
      <c r="H160" s="31" t="n">
        <v>70</v>
      </c>
      <c r="I160" s="31" t="n">
        <v>29.08</v>
      </c>
      <c r="J160" s="31" t="n">
        <v>41.32</v>
      </c>
      <c r="K160" s="31" t="n">
        <v>82.63</v>
      </c>
      <c r="L160" s="31" t="n">
        <v>3</v>
      </c>
      <c r="M160" s="31"/>
      <c r="N160" s="31" t="n">
        <v>-50</v>
      </c>
      <c r="O160" s="31"/>
      <c r="P160" s="31" t="n">
        <v>1</v>
      </c>
      <c r="Q160" s="12" t="n">
        <f aca="false">IF(P160=1,SUM(F160:M160)+N160,"")</f>
        <v>297.74</v>
      </c>
      <c r="R160" s="38" t="n">
        <f aca="false">IF(AND(P160=1,ISNUMBER(E160)),Q160-E160,"")</f>
        <v>0.0400000000000205</v>
      </c>
      <c r="S160" s="31" t="n">
        <v>0</v>
      </c>
      <c r="T160" s="27" t="s">
        <v>364</v>
      </c>
    </row>
    <row r="161" customFormat="false" ht="15" hidden="false" customHeight="false" outlineLevel="0" collapsed="false">
      <c r="A161" s="31" t="n">
        <v>2024</v>
      </c>
      <c r="B161" s="31" t="n">
        <v>31</v>
      </c>
      <c r="C161" s="27" t="s">
        <v>222</v>
      </c>
      <c r="D161" s="27" t="s">
        <v>363</v>
      </c>
      <c r="E161" s="31" t="n">
        <v>296.8</v>
      </c>
      <c r="F161" s="31" t="n">
        <v>78.28</v>
      </c>
      <c r="G161" s="31" t="n">
        <v>60.1</v>
      </c>
      <c r="H161" s="31" t="n">
        <v>70</v>
      </c>
      <c r="I161" s="31" t="n">
        <v>5.91</v>
      </c>
      <c r="J161" s="31" t="n">
        <v>27.1</v>
      </c>
      <c r="K161" s="31" t="n">
        <v>60.43</v>
      </c>
      <c r="L161" s="31" t="n">
        <v>5</v>
      </c>
      <c r="M161" s="31"/>
      <c r="N161" s="31" t="n">
        <v>-10</v>
      </c>
      <c r="O161" s="31"/>
      <c r="P161" s="31" t="n">
        <v>1</v>
      </c>
      <c r="Q161" s="12" t="n">
        <f aca="false">IF(P161=1,SUM(F161:M161)+N161,"")</f>
        <v>296.82</v>
      </c>
      <c r="R161" s="38" t="n">
        <f aca="false">IF(AND(P161=1,ISNUMBER(E161)),Q161-E161,"")</f>
        <v>0.0199999999999818</v>
      </c>
      <c r="S161" s="31" t="n">
        <v>0</v>
      </c>
      <c r="T161" s="27" t="s">
        <v>364</v>
      </c>
    </row>
    <row r="162" customFormat="false" ht="15" hidden="false" customHeight="false" outlineLevel="0" collapsed="false">
      <c r="A162" s="31" t="n">
        <v>2024</v>
      </c>
      <c r="B162" s="31" t="n">
        <v>32</v>
      </c>
      <c r="C162" s="27" t="s">
        <v>170</v>
      </c>
      <c r="D162" s="27" t="s">
        <v>363</v>
      </c>
      <c r="E162" s="31" t="n">
        <v>278.1</v>
      </c>
      <c r="F162" s="31" t="n">
        <v>75.11</v>
      </c>
      <c r="G162" s="31" t="n">
        <v>52.2</v>
      </c>
      <c r="H162" s="31" t="n">
        <v>85</v>
      </c>
      <c r="I162" s="31" t="n">
        <v>4.5</v>
      </c>
      <c r="J162" s="31" t="n">
        <v>18.98</v>
      </c>
      <c r="K162" s="31" t="n">
        <v>41.31</v>
      </c>
      <c r="L162" s="31" t="n">
        <v>1</v>
      </c>
      <c r="M162" s="31"/>
      <c r="N162" s="31"/>
      <c r="O162" s="31"/>
      <c r="P162" s="31" t="n">
        <v>1</v>
      </c>
      <c r="Q162" s="12" t="n">
        <f aca="false">IF(P162=1,SUM(F162:M162)+N162,"")</f>
        <v>278.1</v>
      </c>
      <c r="R162" s="38" t="n">
        <f aca="false">IF(AND(P162=1,ISNUMBER(E162)),Q162-E162,"")</f>
        <v>0</v>
      </c>
      <c r="S162" s="31" t="n">
        <v>0</v>
      </c>
      <c r="T162" s="27" t="s">
        <v>364</v>
      </c>
    </row>
    <row r="163" customFormat="false" ht="15" hidden="false" customHeight="false" outlineLevel="0" collapsed="false">
      <c r="A163" s="31" t="n">
        <v>2024</v>
      </c>
      <c r="B163" s="31" t="n">
        <v>33</v>
      </c>
      <c r="C163" s="27" t="s">
        <v>202</v>
      </c>
      <c r="D163" s="27" t="s">
        <v>363</v>
      </c>
      <c r="E163" s="31" t="n">
        <v>241.4</v>
      </c>
      <c r="F163" s="31" t="n">
        <v>74.97</v>
      </c>
      <c r="G163" s="31" t="n">
        <v>61.4</v>
      </c>
      <c r="H163" s="31" t="n">
        <v>105</v>
      </c>
      <c r="I163" s="31"/>
      <c r="J163" s="31"/>
      <c r="K163" s="31"/>
      <c r="L163" s="31"/>
      <c r="M163" s="31"/>
      <c r="N163" s="31"/>
      <c r="O163" s="31"/>
      <c r="P163" s="31" t="n">
        <v>1</v>
      </c>
      <c r="Q163" s="12" t="n">
        <f aca="false">IF(P163=1,SUM(F163:M163)+N163,"")</f>
        <v>241.37</v>
      </c>
      <c r="R163" s="38" t="n">
        <f aca="false">IF(AND(P163=1,ISNUMBER(E163)),Q163-E163,"")</f>
        <v>-0.0300000000000011</v>
      </c>
      <c r="S163" s="31" t="n">
        <v>0</v>
      </c>
      <c r="T163" s="27" t="s">
        <v>364</v>
      </c>
    </row>
    <row r="164" customFormat="false" ht="15" hidden="false" customHeight="false" outlineLevel="0" collapsed="false">
      <c r="A164" s="31" t="n">
        <v>2024</v>
      </c>
      <c r="B164" s="31" t="n">
        <v>34</v>
      </c>
      <c r="C164" s="27" t="s">
        <v>325</v>
      </c>
      <c r="D164" s="27" t="s">
        <v>363</v>
      </c>
      <c r="E164" s="31" t="n">
        <v>234.6</v>
      </c>
      <c r="F164" s="31" t="n">
        <v>77.2</v>
      </c>
      <c r="G164" s="31" t="n">
        <v>29.4</v>
      </c>
      <c r="H164" s="31" t="n">
        <v>115</v>
      </c>
      <c r="I164" s="31"/>
      <c r="J164" s="31"/>
      <c r="K164" s="31"/>
      <c r="L164" s="31" t="n">
        <v>13</v>
      </c>
      <c r="M164" s="31"/>
      <c r="N164" s="31"/>
      <c r="O164" s="31"/>
      <c r="P164" s="31" t="n">
        <v>1</v>
      </c>
      <c r="Q164" s="12" t="n">
        <f aca="false">IF(P164=1,SUM(F164:M164)+N164,"")</f>
        <v>234.6</v>
      </c>
      <c r="R164" s="38" t="n">
        <f aca="false">IF(AND(P164=1,ISNUMBER(E164)),Q164-E164,"")</f>
        <v>0</v>
      </c>
      <c r="S164" s="31" t="n">
        <v>0</v>
      </c>
      <c r="T164" s="27" t="s">
        <v>364</v>
      </c>
    </row>
    <row r="165" customFormat="false" ht="15" hidden="false" customHeight="false" outlineLevel="0" collapsed="false">
      <c r="A165" s="31" t="n">
        <v>2024</v>
      </c>
      <c r="B165" s="31" t="n">
        <v>35</v>
      </c>
      <c r="C165" s="27" t="s">
        <v>193</v>
      </c>
      <c r="D165" s="27" t="s">
        <v>363</v>
      </c>
      <c r="E165" s="31" t="n">
        <v>230.2</v>
      </c>
      <c r="F165" s="31" t="n">
        <v>78.27</v>
      </c>
      <c r="G165" s="31" t="n">
        <v>61.9</v>
      </c>
      <c r="H165" s="31" t="n">
        <v>90</v>
      </c>
      <c r="I165" s="31"/>
      <c r="J165" s="31"/>
      <c r="K165" s="31"/>
      <c r="L165" s="31"/>
      <c r="M165" s="31"/>
      <c r="N165" s="31"/>
      <c r="O165" s="31"/>
      <c r="P165" s="31" t="n">
        <v>1</v>
      </c>
      <c r="Q165" s="12" t="n">
        <f aca="false">IF(P165=1,SUM(F165:M165)+N165,"")</f>
        <v>230.17</v>
      </c>
      <c r="R165" s="38" t="n">
        <f aca="false">IF(AND(P165=1,ISNUMBER(E165)),Q165-E165,"")</f>
        <v>-0.0300000000000011</v>
      </c>
      <c r="S165" s="31" t="n">
        <v>0</v>
      </c>
      <c r="T165" s="27" t="s">
        <v>364</v>
      </c>
    </row>
    <row r="166" customFormat="false" ht="15" hidden="false" customHeight="false" outlineLevel="0" collapsed="false">
      <c r="A166" s="31" t="n">
        <v>2024</v>
      </c>
      <c r="B166" s="31" t="n">
        <v>36</v>
      </c>
      <c r="C166" s="27" t="s">
        <v>160</v>
      </c>
      <c r="D166" s="27" t="s">
        <v>363</v>
      </c>
      <c r="E166" s="31" t="n">
        <v>207.5</v>
      </c>
      <c r="F166" s="31" t="n">
        <v>76.57</v>
      </c>
      <c r="G166" s="31" t="n">
        <v>55.9</v>
      </c>
      <c r="H166" s="31" t="n">
        <v>75</v>
      </c>
      <c r="I166" s="31"/>
      <c r="J166" s="31"/>
      <c r="K166" s="31"/>
      <c r="L166" s="31"/>
      <c r="M166" s="31"/>
      <c r="N166" s="31"/>
      <c r="O166" s="31"/>
      <c r="P166" s="31" t="n">
        <v>1</v>
      </c>
      <c r="Q166" s="12" t="n">
        <f aca="false">IF(P166=1,SUM(F166:M166)+N166,"")</f>
        <v>207.47</v>
      </c>
      <c r="R166" s="38" t="n">
        <f aca="false">IF(AND(P166=1,ISNUMBER(E166)),Q166-E166,"")</f>
        <v>-0.0300000000000011</v>
      </c>
      <c r="S166" s="31" t="n">
        <v>0</v>
      </c>
      <c r="T166" s="27" t="s">
        <v>364</v>
      </c>
    </row>
    <row r="167" customFormat="false" ht="15" hidden="false" customHeight="false" outlineLevel="0" collapsed="false">
      <c r="A167" s="31" t="n">
        <v>2024</v>
      </c>
      <c r="B167" s="31" t="n">
        <v>37</v>
      </c>
      <c r="C167" s="27" t="s">
        <v>191</v>
      </c>
      <c r="D167" s="27" t="s">
        <v>363</v>
      </c>
      <c r="E167" s="31" t="n">
        <v>202</v>
      </c>
      <c r="F167" s="31" t="n">
        <v>77.24</v>
      </c>
      <c r="G167" s="31" t="n">
        <v>49.8</v>
      </c>
      <c r="H167" s="31" t="n">
        <v>75</v>
      </c>
      <c r="I167" s="31"/>
      <c r="J167" s="31"/>
      <c r="K167" s="31"/>
      <c r="L167" s="31"/>
      <c r="M167" s="31"/>
      <c r="N167" s="31"/>
      <c r="O167" s="31"/>
      <c r="P167" s="31" t="n">
        <v>1</v>
      </c>
      <c r="Q167" s="12" t="n">
        <f aca="false">IF(P167=1,SUM(F167:M167)+N167,"")</f>
        <v>202.04</v>
      </c>
      <c r="R167" s="38" t="n">
        <f aca="false">IF(AND(P167=1,ISNUMBER(E167)),Q167-E167,"")</f>
        <v>0.039999999999992</v>
      </c>
      <c r="S167" s="31" t="n">
        <v>0</v>
      </c>
      <c r="T167" s="27" t="s">
        <v>364</v>
      </c>
    </row>
    <row r="168" customFormat="false" ht="15" hidden="false" customHeight="false" outlineLevel="0" collapsed="false">
      <c r="A168" s="31" t="n">
        <v>2024</v>
      </c>
      <c r="B168" s="31" t="n">
        <v>38</v>
      </c>
      <c r="C168" s="27" t="s">
        <v>210</v>
      </c>
      <c r="D168" s="27" t="s">
        <v>363</v>
      </c>
      <c r="E168" s="31" t="n">
        <v>199.2</v>
      </c>
      <c r="F168" s="31" t="n">
        <v>70.5</v>
      </c>
      <c r="G168" s="31" t="n">
        <v>43.6</v>
      </c>
      <c r="H168" s="31" t="n">
        <v>85</v>
      </c>
      <c r="I168" s="31"/>
      <c r="J168" s="31"/>
      <c r="K168" s="31"/>
      <c r="L168" s="31"/>
      <c r="M168" s="31"/>
      <c r="N168" s="31"/>
      <c r="O168" s="31"/>
      <c r="P168" s="31" t="n">
        <v>1</v>
      </c>
      <c r="Q168" s="12" t="n">
        <f aca="false">IF(P168=1,SUM(F168:M168)+N168,"")</f>
        <v>199.1</v>
      </c>
      <c r="R168" s="38" t="n">
        <f aca="false">IF(AND(P168=1,ISNUMBER(E168)),Q168-E168,"")</f>
        <v>-0.0999999999999943</v>
      </c>
      <c r="S168" s="31" t="n">
        <v>0</v>
      </c>
      <c r="T168" s="27" t="s">
        <v>364</v>
      </c>
    </row>
    <row r="169" customFormat="false" ht="15" hidden="false" customHeight="false" outlineLevel="0" collapsed="false">
      <c r="A169" s="31" t="n">
        <v>2024</v>
      </c>
      <c r="B169" s="31" t="n">
        <v>39</v>
      </c>
      <c r="C169" s="27" t="s">
        <v>194</v>
      </c>
      <c r="D169" s="27" t="s">
        <v>363</v>
      </c>
      <c r="E169" s="31" t="n">
        <v>196.1</v>
      </c>
      <c r="F169" s="31" t="n">
        <v>69.36</v>
      </c>
      <c r="G169" s="31" t="n">
        <v>49.8</v>
      </c>
      <c r="H169" s="31" t="n">
        <v>70</v>
      </c>
      <c r="I169" s="31"/>
      <c r="J169" s="31"/>
      <c r="K169" s="31"/>
      <c r="L169" s="31" t="n">
        <v>7</v>
      </c>
      <c r="M169" s="31"/>
      <c r="N169" s="31"/>
      <c r="O169" s="31"/>
      <c r="P169" s="31" t="n">
        <v>1</v>
      </c>
      <c r="Q169" s="12" t="n">
        <f aca="false">IF(P169=1,SUM(F169:M169)+N169,"")</f>
        <v>196.16</v>
      </c>
      <c r="R169" s="38" t="n">
        <f aca="false">IF(AND(P169=1,ISNUMBER(E169)),Q169-E169,"")</f>
        <v>0.0600000000000023</v>
      </c>
      <c r="S169" s="31" t="n">
        <v>0</v>
      </c>
      <c r="T169" s="27" t="s">
        <v>364</v>
      </c>
    </row>
    <row r="170" customFormat="false" ht="15" hidden="false" customHeight="false" outlineLevel="0" collapsed="false">
      <c r="A170" s="31" t="n">
        <v>2024</v>
      </c>
      <c r="B170" s="31" t="n">
        <v>40</v>
      </c>
      <c r="C170" s="27" t="s">
        <v>184</v>
      </c>
      <c r="D170" s="27" t="s">
        <v>363</v>
      </c>
      <c r="E170" s="31" t="n">
        <v>194.7</v>
      </c>
      <c r="F170" s="31" t="n">
        <v>74.94</v>
      </c>
      <c r="G170" s="31" t="n">
        <v>49.8</v>
      </c>
      <c r="H170" s="31" t="n">
        <v>70</v>
      </c>
      <c r="I170" s="31"/>
      <c r="J170" s="31"/>
      <c r="K170" s="31"/>
      <c r="L170" s="31"/>
      <c r="M170" s="31"/>
      <c r="N170" s="31"/>
      <c r="O170" s="31"/>
      <c r="P170" s="31" t="n">
        <v>1</v>
      </c>
      <c r="Q170" s="12" t="n">
        <f aca="false">IF(P170=1,SUM(F170:M170)+N170,"")</f>
        <v>194.74</v>
      </c>
      <c r="R170" s="38" t="n">
        <f aca="false">IF(AND(P170=1,ISNUMBER(E170)),Q170-E170,"")</f>
        <v>0.0400000000000205</v>
      </c>
      <c r="S170" s="31" t="n">
        <v>0</v>
      </c>
      <c r="T170" s="27" t="s">
        <v>364</v>
      </c>
    </row>
    <row r="171" customFormat="false" ht="15" hidden="false" customHeight="false" outlineLevel="0" collapsed="false">
      <c r="A171" s="31" t="n">
        <v>2024</v>
      </c>
      <c r="B171" s="31" t="n">
        <v>41</v>
      </c>
      <c r="C171" s="27" t="s">
        <v>201</v>
      </c>
      <c r="D171" s="27" t="s">
        <v>363</v>
      </c>
      <c r="E171" s="31" t="n">
        <v>176</v>
      </c>
      <c r="F171" s="31" t="n">
        <v>81.42</v>
      </c>
      <c r="G171" s="31" t="n">
        <v>54.6</v>
      </c>
      <c r="H171" s="31" t="n">
        <v>40</v>
      </c>
      <c r="I171" s="31"/>
      <c r="J171" s="31"/>
      <c r="K171" s="31"/>
      <c r="L171" s="31"/>
      <c r="M171" s="31"/>
      <c r="N171" s="31"/>
      <c r="O171" s="31"/>
      <c r="P171" s="31" t="n">
        <v>1</v>
      </c>
      <c r="Q171" s="12" t="n">
        <f aca="false">IF(P171=1,SUM(F171:M171)+N171,"")</f>
        <v>176.02</v>
      </c>
      <c r="R171" s="38" t="n">
        <f aca="false">IF(AND(P171=1,ISNUMBER(E171)),Q171-E171,"")</f>
        <v>0.0200000000000102</v>
      </c>
      <c r="S171" s="31" t="n">
        <v>0</v>
      </c>
      <c r="T171" s="27" t="s">
        <v>364</v>
      </c>
    </row>
    <row r="172" customFormat="false" ht="15" hidden="false" customHeight="false" outlineLevel="0" collapsed="false">
      <c r="A172" s="31" t="n">
        <v>2024</v>
      </c>
      <c r="B172" s="31" t="n">
        <v>42</v>
      </c>
      <c r="C172" s="27" t="s">
        <v>159</v>
      </c>
      <c r="D172" s="27" t="s">
        <v>363</v>
      </c>
      <c r="E172" s="31" t="n">
        <v>175.8</v>
      </c>
      <c r="F172" s="31" t="n">
        <v>43.39</v>
      </c>
      <c r="G172" s="31" t="n">
        <v>41</v>
      </c>
      <c r="H172" s="31" t="n">
        <v>55</v>
      </c>
      <c r="I172" s="31" t="n">
        <v>4.5</v>
      </c>
      <c r="J172" s="31" t="n">
        <v>24.87</v>
      </c>
      <c r="K172" s="31"/>
      <c r="L172" s="31" t="n">
        <v>7</v>
      </c>
      <c r="M172" s="31"/>
      <c r="N172" s="31"/>
      <c r="O172" s="31"/>
      <c r="P172" s="31" t="n">
        <v>1</v>
      </c>
      <c r="Q172" s="12" t="n">
        <f aca="false">IF(P172=1,SUM(F172:M172)+N172,"")</f>
        <v>175.76</v>
      </c>
      <c r="R172" s="38" t="n">
        <f aca="false">IF(AND(P172=1,ISNUMBER(E172)),Q172-E172,"")</f>
        <v>-0.0400000000000205</v>
      </c>
      <c r="S172" s="31" t="n">
        <v>0</v>
      </c>
      <c r="T172" s="27" t="s">
        <v>364</v>
      </c>
    </row>
    <row r="173" customFormat="false" ht="15" hidden="false" customHeight="false" outlineLevel="0" collapsed="false">
      <c r="A173" s="31" t="n">
        <v>2024</v>
      </c>
      <c r="B173" s="31" t="n">
        <v>43</v>
      </c>
      <c r="C173" s="27" t="s">
        <v>189</v>
      </c>
      <c r="D173" s="27" t="s">
        <v>363</v>
      </c>
      <c r="E173" s="31" t="n">
        <v>175.6</v>
      </c>
      <c r="F173" s="31" t="n">
        <v>59.06</v>
      </c>
      <c r="G173" s="31" t="n">
        <v>46.5</v>
      </c>
      <c r="H173" s="31" t="n">
        <v>80</v>
      </c>
      <c r="I173" s="31"/>
      <c r="J173" s="31"/>
      <c r="K173" s="31"/>
      <c r="L173" s="31"/>
      <c r="M173" s="31"/>
      <c r="N173" s="31" t="n">
        <v>-10</v>
      </c>
      <c r="O173" s="31"/>
      <c r="P173" s="31" t="n">
        <v>1</v>
      </c>
      <c r="Q173" s="12" t="n">
        <f aca="false">IF(P173=1,SUM(F173:M173)+N173,"")</f>
        <v>175.56</v>
      </c>
      <c r="R173" s="38" t="n">
        <f aca="false">IF(AND(P173=1,ISNUMBER(E173)),Q173-E173,"")</f>
        <v>-0.039999999999992</v>
      </c>
      <c r="S173" s="31" t="n">
        <v>0</v>
      </c>
      <c r="T173" s="27" t="s">
        <v>364</v>
      </c>
    </row>
    <row r="174" customFormat="false" ht="15" hidden="false" customHeight="false" outlineLevel="0" collapsed="false">
      <c r="A174" s="31" t="n">
        <v>2024</v>
      </c>
      <c r="B174" s="31" t="n">
        <v>44</v>
      </c>
      <c r="C174" s="27" t="s">
        <v>223</v>
      </c>
      <c r="D174" s="27" t="s">
        <v>363</v>
      </c>
      <c r="E174" s="31" t="n">
        <v>171</v>
      </c>
      <c r="F174" s="31" t="n">
        <v>20.43</v>
      </c>
      <c r="G174" s="31" t="n">
        <v>54.1</v>
      </c>
      <c r="H174" s="31" t="n">
        <v>80</v>
      </c>
      <c r="I174" s="31"/>
      <c r="J174" s="31" t="n">
        <v>15.49</v>
      </c>
      <c r="K174" s="31"/>
      <c r="L174" s="31" t="n">
        <v>1</v>
      </c>
      <c r="M174" s="31"/>
      <c r="N174" s="31"/>
      <c r="O174" s="31"/>
      <c r="P174" s="31" t="n">
        <v>1</v>
      </c>
      <c r="Q174" s="12" t="n">
        <f aca="false">IF(P174=1,SUM(F174:M174)+N174,"")</f>
        <v>177.569</v>
      </c>
      <c r="R174" s="38" t="n">
        <f aca="false">IF(AND(P174=1,ISNUMBER(E174)),Q174-E174,"")</f>
        <v>6.56899999999999</v>
      </c>
      <c r="S174" s="31" t="n">
        <v>0</v>
      </c>
      <c r="T174" s="27" t="s">
        <v>364</v>
      </c>
    </row>
    <row r="175" customFormat="false" ht="15" hidden="false" customHeight="false" outlineLevel="0" collapsed="false">
      <c r="A175" s="31" t="n">
        <v>2024</v>
      </c>
      <c r="B175" s="31" t="n">
        <v>45</v>
      </c>
      <c r="C175" s="27" t="s">
        <v>240</v>
      </c>
      <c r="D175" s="27" t="s">
        <v>363</v>
      </c>
      <c r="E175" s="31" t="n">
        <v>169.3</v>
      </c>
      <c r="F175" s="31" t="n">
        <v>28.41</v>
      </c>
      <c r="G175" s="31" t="n">
        <v>55.9</v>
      </c>
      <c r="H175" s="31" t="n">
        <v>60</v>
      </c>
      <c r="I175" s="31"/>
      <c r="J175" s="31"/>
      <c r="K175" s="31"/>
      <c r="L175" s="31" t="n">
        <v>25</v>
      </c>
      <c r="M175" s="31"/>
      <c r="N175" s="31"/>
      <c r="O175" s="31"/>
      <c r="P175" s="31" t="n">
        <v>1</v>
      </c>
      <c r="Q175" s="12" t="n">
        <f aca="false">IF(P175=1,SUM(F175:M175)+N175,"")</f>
        <v>169.31</v>
      </c>
      <c r="R175" s="38" t="n">
        <f aca="false">IF(AND(P175=1,ISNUMBER(E175)),Q175-E175,"")</f>
        <v>0.00999999999999091</v>
      </c>
      <c r="S175" s="31" t="n">
        <v>0</v>
      </c>
      <c r="T175" s="27" t="s">
        <v>364</v>
      </c>
    </row>
    <row r="176" customFormat="false" ht="15" hidden="false" customHeight="false" outlineLevel="0" collapsed="false">
      <c r="A176" s="31" t="n">
        <v>2024</v>
      </c>
      <c r="B176" s="31" t="n">
        <v>46</v>
      </c>
      <c r="C176" s="27" t="s">
        <v>211</v>
      </c>
      <c r="D176" s="27" t="s">
        <v>363</v>
      </c>
      <c r="E176" s="31" t="n">
        <v>166</v>
      </c>
      <c r="F176" s="31" t="n">
        <v>54.15</v>
      </c>
      <c r="G176" s="31" t="n">
        <v>36.8</v>
      </c>
      <c r="H176" s="31" t="n">
        <v>75</v>
      </c>
      <c r="I176" s="31"/>
      <c r="J176" s="31"/>
      <c r="K176" s="31"/>
      <c r="L176" s="31"/>
      <c r="M176" s="31"/>
      <c r="N176" s="31"/>
      <c r="O176" s="31"/>
      <c r="P176" s="31" t="n">
        <v>1</v>
      </c>
      <c r="Q176" s="12" t="n">
        <f aca="false">IF(P176=1,SUM(F176:M176)+N176,"")</f>
        <v>165.95</v>
      </c>
      <c r="R176" s="38" t="n">
        <f aca="false">IF(AND(P176=1,ISNUMBER(E176)),Q176-E176,"")</f>
        <v>-0.0500000000000114</v>
      </c>
      <c r="S176" s="31" t="n">
        <v>0</v>
      </c>
      <c r="T176" s="27" t="s">
        <v>364</v>
      </c>
    </row>
    <row r="177" customFormat="false" ht="15" hidden="false" customHeight="false" outlineLevel="0" collapsed="false">
      <c r="A177" s="31" t="n">
        <v>2024</v>
      </c>
      <c r="B177" s="31" t="n">
        <v>47</v>
      </c>
      <c r="C177" s="27" t="s">
        <v>187</v>
      </c>
      <c r="D177" s="27" t="s">
        <v>363</v>
      </c>
      <c r="E177" s="31" t="n">
        <v>163.7</v>
      </c>
      <c r="F177" s="31" t="n">
        <v>62.48</v>
      </c>
      <c r="G177" s="31" t="n">
        <v>36.2</v>
      </c>
      <c r="H177" s="31" t="n">
        <v>65</v>
      </c>
      <c r="I177" s="31"/>
      <c r="J177" s="31"/>
      <c r="K177" s="31"/>
      <c r="L177" s="31"/>
      <c r="M177" s="31"/>
      <c r="N177" s="31"/>
      <c r="O177" s="31"/>
      <c r="P177" s="31" t="n">
        <v>1</v>
      </c>
      <c r="Q177" s="12" t="n">
        <f aca="false">IF(P177=1,SUM(F177:M177)+N177,"")</f>
        <v>163.68</v>
      </c>
      <c r="R177" s="38" t="n">
        <f aca="false">IF(AND(P177=1,ISNUMBER(E177)),Q177-E177,"")</f>
        <v>-0.0199999999999818</v>
      </c>
      <c r="S177" s="31" t="n">
        <v>0</v>
      </c>
      <c r="T177" s="27" t="s">
        <v>364</v>
      </c>
    </row>
    <row r="178" customFormat="false" ht="15" hidden="false" customHeight="false" outlineLevel="0" collapsed="false">
      <c r="A178" s="31" t="n">
        <v>2024</v>
      </c>
      <c r="B178" s="31" t="n">
        <v>48</v>
      </c>
      <c r="C178" s="27" t="s">
        <v>215</v>
      </c>
      <c r="D178" s="27" t="s">
        <v>363</v>
      </c>
      <c r="E178" s="31" t="n">
        <v>154.9</v>
      </c>
      <c r="F178" s="31" t="n">
        <v>45.21</v>
      </c>
      <c r="G178" s="31" t="n">
        <v>44.7</v>
      </c>
      <c r="H178" s="31" t="n">
        <v>65</v>
      </c>
      <c r="I178" s="31"/>
      <c r="J178" s="31"/>
      <c r="K178" s="31"/>
      <c r="L178" s="31"/>
      <c r="M178" s="31"/>
      <c r="N178" s="31"/>
      <c r="O178" s="31"/>
      <c r="P178" s="31" t="n">
        <v>1</v>
      </c>
      <c r="Q178" s="12" t="n">
        <f aca="false">IF(P178=1,SUM(F178:M178)+N178,"")</f>
        <v>154.91</v>
      </c>
      <c r="R178" s="38" t="n">
        <f aca="false">IF(AND(P178=1,ISNUMBER(E178)),Q178-E178,"")</f>
        <v>0.00999999999999091</v>
      </c>
      <c r="S178" s="31" t="n">
        <v>0</v>
      </c>
      <c r="T178" s="27" t="s">
        <v>364</v>
      </c>
    </row>
    <row r="179" customFormat="false" ht="15" hidden="false" customHeight="false" outlineLevel="0" collapsed="false">
      <c r="A179" s="31" t="n">
        <v>2024</v>
      </c>
      <c r="B179" s="31" t="n">
        <v>49</v>
      </c>
      <c r="C179" s="27" t="s">
        <v>329</v>
      </c>
      <c r="D179" s="27" t="s">
        <v>363</v>
      </c>
      <c r="E179" s="31" t="n">
        <v>151.8</v>
      </c>
      <c r="F179" s="31" t="n">
        <v>71.34</v>
      </c>
      <c r="G179" s="31" t="n">
        <v>25.5</v>
      </c>
      <c r="H179" s="31" t="n">
        <v>50</v>
      </c>
      <c r="I179" s="31"/>
      <c r="J179" s="31"/>
      <c r="K179" s="31"/>
      <c r="L179" s="31" t="n">
        <v>5</v>
      </c>
      <c r="M179" s="31"/>
      <c r="N179" s="31"/>
      <c r="O179" s="31"/>
      <c r="P179" s="31" t="n">
        <v>1</v>
      </c>
      <c r="Q179" s="12" t="n">
        <f aca="false">IF(P179=1,SUM(F179:M179)+N179,"")</f>
        <v>151.84</v>
      </c>
      <c r="R179" s="38" t="n">
        <f aca="false">IF(AND(P179=1,ISNUMBER(E179)),Q179-E179,"")</f>
        <v>0.039999999999992</v>
      </c>
      <c r="S179" s="31" t="n">
        <v>0</v>
      </c>
      <c r="T179" s="27" t="s">
        <v>364</v>
      </c>
    </row>
    <row r="180" customFormat="false" ht="15" hidden="false" customHeight="false" outlineLevel="0" collapsed="false">
      <c r="A180" s="31" t="n">
        <v>2024</v>
      </c>
      <c r="B180" s="31" t="n">
        <v>50</v>
      </c>
      <c r="C180" s="27" t="s">
        <v>204</v>
      </c>
      <c r="D180" s="27" t="s">
        <v>363</v>
      </c>
      <c r="E180" s="31" t="n">
        <v>151.4</v>
      </c>
      <c r="F180" s="31" t="n">
        <v>54.36</v>
      </c>
      <c r="G180" s="31" t="n">
        <v>37</v>
      </c>
      <c r="H180" s="31" t="n">
        <v>60</v>
      </c>
      <c r="I180" s="31"/>
      <c r="J180" s="31"/>
      <c r="K180" s="31"/>
      <c r="L180" s="31"/>
      <c r="M180" s="31"/>
      <c r="N180" s="31"/>
      <c r="O180" s="31"/>
      <c r="P180" s="31" t="n">
        <v>1</v>
      </c>
      <c r="Q180" s="12" t="n">
        <f aca="false">IF(P180=1,SUM(F180:M180)+N180,"")</f>
        <v>151.36</v>
      </c>
      <c r="R180" s="38" t="n">
        <f aca="false">IF(AND(P180=1,ISNUMBER(E180)),Q180-E180,"")</f>
        <v>-0.039999999999992</v>
      </c>
      <c r="S180" s="31" t="n">
        <v>0</v>
      </c>
      <c r="T180" s="27" t="s">
        <v>364</v>
      </c>
    </row>
    <row r="181" customFormat="false" ht="15" hidden="false" customHeight="false" outlineLevel="0" collapsed="false">
      <c r="A181" s="31" t="n">
        <v>2024</v>
      </c>
      <c r="B181" s="31" t="n">
        <v>51</v>
      </c>
      <c r="C181" s="27" t="s">
        <v>190</v>
      </c>
      <c r="D181" s="27" t="s">
        <v>363</v>
      </c>
      <c r="E181" s="31" t="n">
        <v>149.5</v>
      </c>
      <c r="F181" s="31" t="n">
        <v>65.8</v>
      </c>
      <c r="G181" s="31" t="n">
        <v>43.6</v>
      </c>
      <c r="H181" s="31" t="n">
        <v>40</v>
      </c>
      <c r="I181" s="31"/>
      <c r="J181" s="31"/>
      <c r="K181" s="31"/>
      <c r="L181" s="31"/>
      <c r="M181" s="31"/>
      <c r="N181" s="31"/>
      <c r="O181" s="31"/>
      <c r="P181" s="31" t="n">
        <v>1</v>
      </c>
      <c r="Q181" s="12" t="n">
        <f aca="false">IF(P181=1,SUM(F181:M181)+N181,"")</f>
        <v>149.4</v>
      </c>
      <c r="R181" s="38" t="n">
        <f aca="false">IF(AND(P181=1,ISNUMBER(E181)),Q181-E181,"")</f>
        <v>-0.0999999999999943</v>
      </c>
      <c r="S181" s="31" t="n">
        <v>0</v>
      </c>
      <c r="T181" s="27" t="s">
        <v>364</v>
      </c>
    </row>
    <row r="182" customFormat="false" ht="15" hidden="false" customHeight="false" outlineLevel="0" collapsed="false">
      <c r="A182" s="31" t="n">
        <v>2024</v>
      </c>
      <c r="B182" s="31" t="n">
        <v>52</v>
      </c>
      <c r="C182" s="27" t="s">
        <v>330</v>
      </c>
      <c r="D182" s="27" t="s">
        <v>363</v>
      </c>
      <c r="E182" s="31" t="n">
        <v>148.7</v>
      </c>
      <c r="F182" s="31" t="n">
        <v>23.7</v>
      </c>
      <c r="G182" s="31" t="n">
        <v>65</v>
      </c>
      <c r="H182" s="31" t="n">
        <v>60</v>
      </c>
      <c r="I182" s="31"/>
      <c r="J182" s="31"/>
      <c r="K182" s="31"/>
      <c r="L182" s="31"/>
      <c r="M182" s="31"/>
      <c r="N182" s="31"/>
      <c r="O182" s="31"/>
      <c r="P182" s="31" t="n">
        <v>1</v>
      </c>
      <c r="Q182" s="12" t="n">
        <f aca="false">IF(P182=1,SUM(F182:M182)+N182,"")</f>
        <v>148.7</v>
      </c>
      <c r="R182" s="38" t="n">
        <f aca="false">IF(AND(P182=1,ISNUMBER(E182)),Q182-E182,"")</f>
        <v>0</v>
      </c>
      <c r="S182" s="31" t="n">
        <v>0</v>
      </c>
      <c r="T182" s="27" t="s">
        <v>364</v>
      </c>
    </row>
    <row r="183" customFormat="false" ht="15" hidden="false" customHeight="false" outlineLevel="0" collapsed="false">
      <c r="A183" s="31" t="n">
        <v>2024</v>
      </c>
      <c r="B183" s="31" t="n">
        <v>53</v>
      </c>
      <c r="C183" s="27" t="s">
        <v>221</v>
      </c>
      <c r="D183" s="27" t="s">
        <v>363</v>
      </c>
      <c r="E183" s="31" t="n">
        <v>145.6</v>
      </c>
      <c r="F183" s="31" t="n">
        <v>41.53</v>
      </c>
      <c r="G183" s="31" t="n">
        <v>44.1</v>
      </c>
      <c r="H183" s="31" t="n">
        <v>60</v>
      </c>
      <c r="I183" s="31"/>
      <c r="J183" s="31"/>
      <c r="K183" s="31"/>
      <c r="L183" s="31"/>
      <c r="M183" s="31"/>
      <c r="N183" s="31"/>
      <c r="O183" s="31"/>
      <c r="P183" s="31" t="n">
        <v>1</v>
      </c>
      <c r="Q183" s="12" t="n">
        <f aca="false">IF(P183=1,SUM(F183:M183)+N183,"")</f>
        <v>145.63</v>
      </c>
      <c r="R183" s="38" t="n">
        <f aca="false">IF(AND(P183=1,ISNUMBER(E183)),Q183-E183,"")</f>
        <v>0.0300000000000011</v>
      </c>
      <c r="S183" s="31" t="n">
        <v>0</v>
      </c>
      <c r="T183" s="27" t="s">
        <v>364</v>
      </c>
    </row>
    <row r="184" customFormat="false" ht="15" hidden="false" customHeight="false" outlineLevel="0" collapsed="false">
      <c r="A184" s="31" t="n">
        <v>2024</v>
      </c>
      <c r="B184" s="31" t="n">
        <v>54</v>
      </c>
      <c r="C184" s="27" t="s">
        <v>247</v>
      </c>
      <c r="D184" s="27" t="s">
        <v>363</v>
      </c>
      <c r="E184" s="31" t="n">
        <v>144.9</v>
      </c>
      <c r="F184" s="31" t="n">
        <v>60.66</v>
      </c>
      <c r="G184" s="31" t="n">
        <v>24.2</v>
      </c>
      <c r="H184" s="31" t="n">
        <v>60</v>
      </c>
      <c r="I184" s="31"/>
      <c r="J184" s="31"/>
      <c r="K184" s="31"/>
      <c r="L184" s="31"/>
      <c r="M184" s="31"/>
      <c r="N184" s="31"/>
      <c r="O184" s="31"/>
      <c r="P184" s="31" t="n">
        <v>1</v>
      </c>
      <c r="Q184" s="12" t="n">
        <f aca="false">IF(P184=1,SUM(F184:M184)+N184,"")</f>
        <v>144.86</v>
      </c>
      <c r="R184" s="38" t="n">
        <f aca="false">IF(AND(P184=1,ISNUMBER(E184)),Q184-E184,"")</f>
        <v>-0.0400000000000205</v>
      </c>
      <c r="S184" s="31" t="n">
        <v>0</v>
      </c>
      <c r="T184" s="27" t="s">
        <v>364</v>
      </c>
    </row>
    <row r="185" customFormat="false" ht="15" hidden="false" customHeight="false" outlineLevel="0" collapsed="false">
      <c r="A185" s="31" t="n">
        <v>2024</v>
      </c>
      <c r="B185" s="31" t="n">
        <v>55</v>
      </c>
      <c r="C185" s="27" t="s">
        <v>217</v>
      </c>
      <c r="D185" s="27" t="s">
        <v>363</v>
      </c>
      <c r="E185" s="31" t="n">
        <v>140.5</v>
      </c>
      <c r="F185" s="31" t="n">
        <v>63.55</v>
      </c>
      <c r="G185" s="31" t="n">
        <v>31.9</v>
      </c>
      <c r="H185" s="31" t="n">
        <v>45</v>
      </c>
      <c r="I185" s="31"/>
      <c r="J185" s="31"/>
      <c r="K185" s="31"/>
      <c r="L185" s="31"/>
      <c r="M185" s="31"/>
      <c r="N185" s="31"/>
      <c r="O185" s="31"/>
      <c r="P185" s="31" t="n">
        <v>1</v>
      </c>
      <c r="Q185" s="12" t="n">
        <f aca="false">IF(P185=1,SUM(F185:M185)+N185,"")</f>
        <v>140.45</v>
      </c>
      <c r="R185" s="38" t="n">
        <f aca="false">IF(AND(P185=1,ISNUMBER(E185)),Q185-E185,"")</f>
        <v>-0.0500000000000114</v>
      </c>
      <c r="S185" s="31" t="n">
        <v>0</v>
      </c>
      <c r="T185" s="27" t="s">
        <v>364</v>
      </c>
    </row>
    <row r="186" customFormat="false" ht="15" hidden="false" customHeight="false" outlineLevel="0" collapsed="false">
      <c r="A186" s="31" t="n">
        <v>2024</v>
      </c>
      <c r="B186" s="31" t="n">
        <v>56</v>
      </c>
      <c r="C186" s="27" t="s">
        <v>206</v>
      </c>
      <c r="D186" s="27" t="s">
        <v>363</v>
      </c>
      <c r="E186" s="31" t="n">
        <v>139.1</v>
      </c>
      <c r="F186" s="31" t="n">
        <v>61</v>
      </c>
      <c r="G186" s="31" t="n">
        <v>33.1</v>
      </c>
      <c r="H186" s="31" t="n">
        <v>45</v>
      </c>
      <c r="I186" s="31"/>
      <c r="J186" s="31"/>
      <c r="K186" s="31"/>
      <c r="L186" s="31"/>
      <c r="M186" s="31"/>
      <c r="N186" s="31"/>
      <c r="O186" s="31"/>
      <c r="P186" s="31" t="n">
        <v>1</v>
      </c>
      <c r="Q186" s="12" t="n">
        <f aca="false">IF(P186=1,SUM(F186:M186)+N186,"")</f>
        <v>141.1</v>
      </c>
      <c r="R186" s="38" t="n">
        <f aca="false">IF(AND(P186=1,ISNUMBER(E186)),Q186-E186,"")</f>
        <v>2</v>
      </c>
      <c r="S186" s="31" t="n">
        <v>0</v>
      </c>
      <c r="T186" s="27" t="s">
        <v>364</v>
      </c>
    </row>
    <row r="187" customFormat="false" ht="15" hidden="false" customHeight="false" outlineLevel="0" collapsed="false">
      <c r="A187" s="31" t="n">
        <v>2024</v>
      </c>
      <c r="B187" s="31" t="n">
        <v>57</v>
      </c>
      <c r="C187" s="27" t="s">
        <v>197</v>
      </c>
      <c r="D187" s="27" t="s">
        <v>363</v>
      </c>
      <c r="E187" s="31" t="n">
        <v>137.2</v>
      </c>
      <c r="F187" s="31" t="n">
        <v>49.37</v>
      </c>
      <c r="G187" s="31" t="n">
        <v>42.8</v>
      </c>
      <c r="H187" s="31" t="n">
        <v>45</v>
      </c>
      <c r="I187" s="31"/>
      <c r="J187" s="31"/>
      <c r="K187" s="31"/>
      <c r="L187" s="31"/>
      <c r="M187" s="31"/>
      <c r="N187" s="31"/>
      <c r="O187" s="31"/>
      <c r="P187" s="31" t="n">
        <v>1</v>
      </c>
      <c r="Q187" s="12" t="n">
        <f aca="false">IF(P187=1,SUM(F187:M187)+N187,"")</f>
        <v>137.17</v>
      </c>
      <c r="R187" s="38" t="n">
        <f aca="false">IF(AND(P187=1,ISNUMBER(E187)),Q187-E187,"")</f>
        <v>-0.0300000000000011</v>
      </c>
      <c r="S187" s="31" t="n">
        <v>0</v>
      </c>
      <c r="T187" s="27" t="s">
        <v>364</v>
      </c>
    </row>
    <row r="188" customFormat="false" ht="15" hidden="false" customHeight="false" outlineLevel="0" collapsed="false">
      <c r="A188" s="31" t="n">
        <v>2024</v>
      </c>
      <c r="B188" s="31" t="n">
        <v>58</v>
      </c>
      <c r="C188" s="27" t="s">
        <v>239</v>
      </c>
      <c r="D188" s="27" t="s">
        <v>363</v>
      </c>
      <c r="E188" s="31" t="n">
        <v>134.9</v>
      </c>
      <c r="F188" s="31" t="n">
        <v>36.23</v>
      </c>
      <c r="G188" s="31" t="n">
        <v>58.7</v>
      </c>
      <c r="H188" s="31" t="n">
        <v>40</v>
      </c>
      <c r="I188" s="31"/>
      <c r="J188" s="31"/>
      <c r="K188" s="31"/>
      <c r="L188" s="31"/>
      <c r="M188" s="31"/>
      <c r="N188" s="31"/>
      <c r="O188" s="31"/>
      <c r="P188" s="31" t="n">
        <v>1</v>
      </c>
      <c r="Q188" s="12" t="n">
        <f aca="false">IF(P188=1,SUM(F188:M188)+N188,"")</f>
        <v>134.93</v>
      </c>
      <c r="R188" s="38" t="n">
        <f aca="false">IF(AND(P188=1,ISNUMBER(E188)),Q188-E188,"")</f>
        <v>0.0300000000000011</v>
      </c>
      <c r="S188" s="31" t="n">
        <v>0</v>
      </c>
      <c r="T188" s="27" t="s">
        <v>364</v>
      </c>
    </row>
    <row r="189" customFormat="false" ht="15" hidden="false" customHeight="false" outlineLevel="0" collapsed="false">
      <c r="A189" s="31" t="n">
        <v>2024</v>
      </c>
      <c r="B189" s="31" t="n">
        <v>59</v>
      </c>
      <c r="C189" s="27" t="s">
        <v>331</v>
      </c>
      <c r="D189" s="27" t="s">
        <v>363</v>
      </c>
      <c r="E189" s="31" t="n">
        <v>133.6</v>
      </c>
      <c r="F189" s="31" t="n">
        <v>14.91</v>
      </c>
      <c r="G189" s="31" t="n">
        <v>68.7</v>
      </c>
      <c r="H189" s="31" t="n">
        <v>50</v>
      </c>
      <c r="I189" s="31"/>
      <c r="J189" s="31"/>
      <c r="K189" s="31"/>
      <c r="L189" s="31"/>
      <c r="M189" s="31"/>
      <c r="N189" s="31"/>
      <c r="O189" s="31"/>
      <c r="P189" s="31" t="n">
        <v>1</v>
      </c>
      <c r="Q189" s="12" t="n">
        <f aca="false">IF(P189=1,SUM(F189:M189)+N189,"")</f>
        <v>133.61</v>
      </c>
      <c r="R189" s="38" t="n">
        <f aca="false">IF(AND(P189=1,ISNUMBER(E189)),Q189-E189,"")</f>
        <v>0.0100000000000193</v>
      </c>
      <c r="S189" s="31" t="n">
        <v>0</v>
      </c>
      <c r="T189" s="27" t="s">
        <v>364</v>
      </c>
    </row>
    <row r="190" customFormat="false" ht="15" hidden="false" customHeight="false" outlineLevel="0" collapsed="false">
      <c r="A190" s="31" t="n">
        <v>2024</v>
      </c>
      <c r="B190" s="31" t="n">
        <v>60</v>
      </c>
      <c r="C190" s="27" t="s">
        <v>228</v>
      </c>
      <c r="D190" s="27" t="s">
        <v>363</v>
      </c>
      <c r="E190" s="31" t="n">
        <v>126.9</v>
      </c>
      <c r="F190" s="31" t="n">
        <v>49.13</v>
      </c>
      <c r="G190" s="31" t="n">
        <v>32.8</v>
      </c>
      <c r="H190" s="31" t="n">
        <v>45</v>
      </c>
      <c r="I190" s="31"/>
      <c r="J190" s="31"/>
      <c r="K190" s="31"/>
      <c r="L190" s="31"/>
      <c r="M190" s="31"/>
      <c r="N190" s="31"/>
      <c r="O190" s="31"/>
      <c r="P190" s="31" t="n">
        <v>1</v>
      </c>
      <c r="Q190" s="12" t="n">
        <f aca="false">IF(P190=1,SUM(F190:M190)+N190,"")</f>
        <v>126.93</v>
      </c>
      <c r="R190" s="38" t="n">
        <f aca="false">IF(AND(P190=1,ISNUMBER(E190)),Q190-E190,"")</f>
        <v>0.0300000000000011</v>
      </c>
      <c r="S190" s="31" t="n">
        <v>0</v>
      </c>
      <c r="T190" s="27" t="s">
        <v>364</v>
      </c>
    </row>
    <row r="191" customFormat="false" ht="15" hidden="false" customHeight="false" outlineLevel="0" collapsed="false">
      <c r="A191" s="31" t="n">
        <v>2024</v>
      </c>
      <c r="B191" s="31" t="n">
        <v>61</v>
      </c>
      <c r="C191" s="27" t="s">
        <v>332</v>
      </c>
      <c r="D191" s="27" t="s">
        <v>363</v>
      </c>
      <c r="E191" s="31" t="n">
        <v>126.4</v>
      </c>
      <c r="F191" s="31" t="n">
        <v>64.86</v>
      </c>
      <c r="G191" s="31" t="n">
        <v>10</v>
      </c>
      <c r="H191" s="31" t="n">
        <v>95</v>
      </c>
      <c r="I191" s="31"/>
      <c r="J191" s="31" t="n">
        <v>6.54</v>
      </c>
      <c r="K191" s="31"/>
      <c r="L191" s="31"/>
      <c r="M191" s="31"/>
      <c r="N191" s="31" t="n">
        <v>-50</v>
      </c>
      <c r="O191" s="31"/>
      <c r="P191" s="31" t="n">
        <v>1</v>
      </c>
      <c r="Q191" s="12" t="n">
        <f aca="false">IF(P191=1,SUM(F191:M191)+N191,"")</f>
        <v>187.279</v>
      </c>
      <c r="R191" s="38" t="n">
        <f aca="false">IF(AND(P191=1,ISNUMBER(E191)),Q191-E191,"")</f>
        <v>60.879</v>
      </c>
      <c r="S191" s="31" t="n">
        <v>0</v>
      </c>
      <c r="T191" s="27" t="s">
        <v>364</v>
      </c>
    </row>
    <row r="192" customFormat="false" ht="15" hidden="false" customHeight="false" outlineLevel="0" collapsed="false">
      <c r="A192" s="31" t="n">
        <v>2024</v>
      </c>
      <c r="B192" s="31" t="n">
        <v>62</v>
      </c>
      <c r="C192" s="27" t="s">
        <v>195</v>
      </c>
      <c r="D192" s="27" t="s">
        <v>363</v>
      </c>
      <c r="E192" s="31" t="n">
        <v>116.7</v>
      </c>
      <c r="F192" s="31" t="n">
        <v>31.1</v>
      </c>
      <c r="G192" s="31" t="n">
        <v>30.6</v>
      </c>
      <c r="H192" s="31" t="n">
        <v>55</v>
      </c>
      <c r="I192" s="31"/>
      <c r="J192" s="31"/>
      <c r="K192" s="31"/>
      <c r="L192" s="31"/>
      <c r="M192" s="31"/>
      <c r="N192" s="31"/>
      <c r="O192" s="31"/>
      <c r="P192" s="31" t="n">
        <v>1</v>
      </c>
      <c r="Q192" s="12" t="n">
        <f aca="false">IF(P192=1,SUM(F192:M192)+N192,"")</f>
        <v>116.7</v>
      </c>
      <c r="R192" s="38" t="n">
        <f aca="false">IF(AND(P192=1,ISNUMBER(E192)),Q192-E192,"")</f>
        <v>0</v>
      </c>
      <c r="S192" s="31" t="n">
        <v>0</v>
      </c>
      <c r="T192" s="27" t="s">
        <v>364</v>
      </c>
    </row>
    <row r="193" customFormat="false" ht="15" hidden="false" customHeight="false" outlineLevel="0" collapsed="false">
      <c r="A193" s="31" t="n">
        <v>2024</v>
      </c>
      <c r="B193" s="31" t="n">
        <v>63</v>
      </c>
      <c r="C193" s="27" t="s">
        <v>253</v>
      </c>
      <c r="D193" s="27" t="s">
        <v>363</v>
      </c>
      <c r="E193" s="31" t="n">
        <v>116.5</v>
      </c>
      <c r="F193" s="31" t="n">
        <v>40</v>
      </c>
      <c r="G193" s="31" t="n">
        <v>36.5</v>
      </c>
      <c r="H193" s="31" t="n">
        <v>50</v>
      </c>
      <c r="I193" s="31"/>
      <c r="J193" s="31"/>
      <c r="K193" s="31"/>
      <c r="L193" s="31"/>
      <c r="M193" s="31"/>
      <c r="N193" s="31" t="n">
        <v>-10</v>
      </c>
      <c r="O193" s="31"/>
      <c r="P193" s="31" t="n">
        <v>1</v>
      </c>
      <c r="Q193" s="12" t="n">
        <f aca="false">IF(P193=1,SUM(F193:M193)+N193,"")</f>
        <v>116.5</v>
      </c>
      <c r="R193" s="38" t="n">
        <f aca="false">IF(AND(P193=1,ISNUMBER(E193)),Q193-E193,"")</f>
        <v>0</v>
      </c>
      <c r="S193" s="31" t="n">
        <v>0</v>
      </c>
      <c r="T193" s="27" t="s">
        <v>364</v>
      </c>
    </row>
    <row r="194" customFormat="false" ht="15" hidden="false" customHeight="false" outlineLevel="0" collapsed="false">
      <c r="A194" s="31" t="n">
        <v>2024</v>
      </c>
      <c r="B194" s="31" t="n">
        <v>64</v>
      </c>
      <c r="C194" s="27" t="s">
        <v>188</v>
      </c>
      <c r="D194" s="27" t="s">
        <v>363</v>
      </c>
      <c r="E194" s="31" t="n">
        <v>108</v>
      </c>
      <c r="F194" s="31" t="n">
        <v>16.69</v>
      </c>
      <c r="G194" s="31" t="n">
        <v>31.3</v>
      </c>
      <c r="H194" s="31" t="n">
        <v>60</v>
      </c>
      <c r="I194" s="31"/>
      <c r="J194" s="31"/>
      <c r="K194" s="31"/>
      <c r="L194" s="31"/>
      <c r="M194" s="31"/>
      <c r="N194" s="31"/>
      <c r="O194" s="31"/>
      <c r="P194" s="31" t="n">
        <v>1</v>
      </c>
      <c r="Q194" s="12" t="n">
        <f aca="false">IF(P194=1,SUM(F194:M194)+N194,"")</f>
        <v>107.99</v>
      </c>
      <c r="R194" s="38" t="n">
        <f aca="false">IF(AND(P194=1,ISNUMBER(E194)),Q194-E194,"")</f>
        <v>-0.00999999999999091</v>
      </c>
      <c r="S194" s="31" t="n">
        <v>0</v>
      </c>
      <c r="T194" s="27" t="s">
        <v>364</v>
      </c>
    </row>
    <row r="195" customFormat="false" ht="15" hidden="false" customHeight="false" outlineLevel="0" collapsed="false">
      <c r="A195" s="31" t="n">
        <v>2024</v>
      </c>
      <c r="B195" s="31" t="n">
        <v>65</v>
      </c>
      <c r="C195" s="27" t="s">
        <v>213</v>
      </c>
      <c r="D195" s="27" t="s">
        <v>363</v>
      </c>
      <c r="E195" s="31" t="n">
        <v>106.9</v>
      </c>
      <c r="F195" s="31" t="n">
        <v>40.04</v>
      </c>
      <c r="G195" s="31" t="n">
        <v>16.8</v>
      </c>
      <c r="H195" s="31" t="n">
        <v>50</v>
      </c>
      <c r="I195" s="31"/>
      <c r="J195" s="31"/>
      <c r="K195" s="31"/>
      <c r="L195" s="31"/>
      <c r="M195" s="31"/>
      <c r="N195" s="31"/>
      <c r="O195" s="31"/>
      <c r="P195" s="31" t="n">
        <v>1</v>
      </c>
      <c r="Q195" s="12" t="n">
        <f aca="false">IF(P195=1,SUM(F195:M195)+N195,"")</f>
        <v>106.84</v>
      </c>
      <c r="R195" s="38" t="n">
        <f aca="false">IF(AND(P195=1,ISNUMBER(E195)),Q195-E195,"")</f>
        <v>-0.0600000000000023</v>
      </c>
      <c r="S195" s="31" t="n">
        <v>0</v>
      </c>
      <c r="T195" s="27" t="s">
        <v>364</v>
      </c>
    </row>
    <row r="196" customFormat="false" ht="15" hidden="false" customHeight="false" outlineLevel="0" collapsed="false">
      <c r="A196" s="31" t="n">
        <v>2024</v>
      </c>
      <c r="B196" s="31" t="n">
        <v>66</v>
      </c>
      <c r="C196" s="27" t="s">
        <v>243</v>
      </c>
      <c r="D196" s="27" t="s">
        <v>363</v>
      </c>
      <c r="E196" s="31" t="n">
        <v>58.1</v>
      </c>
      <c r="F196" s="31" t="n">
        <v>15</v>
      </c>
      <c r="G196" s="31" t="n">
        <v>38.1</v>
      </c>
      <c r="H196" s="31" t="n">
        <v>5</v>
      </c>
      <c r="I196" s="31"/>
      <c r="J196" s="31"/>
      <c r="K196" s="31"/>
      <c r="L196" s="31"/>
      <c r="M196" s="31"/>
      <c r="N196" s="31"/>
      <c r="O196" s="31"/>
      <c r="P196" s="31" t="n">
        <v>1</v>
      </c>
      <c r="Q196" s="12" t="n">
        <f aca="false">IF(P196=1,SUM(F196:M196)+N196,"")</f>
        <v>58.1</v>
      </c>
      <c r="R196" s="38" t="n">
        <f aca="false">IF(AND(P196=1,ISNUMBER(E196)),Q196-E196,"")</f>
        <v>0</v>
      </c>
      <c r="S196" s="31" t="n">
        <v>0</v>
      </c>
      <c r="T196" s="27" t="s">
        <v>364</v>
      </c>
    </row>
    <row r="197" customFormat="false" ht="15" hidden="false" customHeight="false" outlineLevel="0" collapsed="false">
      <c r="A197" s="31" t="n">
        <v>2024</v>
      </c>
      <c r="B197" s="31" t="n">
        <v>67</v>
      </c>
      <c r="C197" s="27" t="s">
        <v>235</v>
      </c>
      <c r="D197" s="27" t="s">
        <v>363</v>
      </c>
      <c r="E197" s="31" t="n">
        <v>56.6</v>
      </c>
      <c r="F197" s="31" t="n">
        <v>31.27</v>
      </c>
      <c r="G197" s="31" t="n">
        <v>35.3</v>
      </c>
      <c r="H197" s="31" t="n">
        <v>40</v>
      </c>
      <c r="I197" s="31"/>
      <c r="J197" s="31"/>
      <c r="K197" s="31"/>
      <c r="L197" s="31"/>
      <c r="M197" s="31"/>
      <c r="N197" s="31" t="n">
        <v>-50</v>
      </c>
      <c r="O197" s="31"/>
      <c r="P197" s="31" t="n">
        <v>1</v>
      </c>
      <c r="Q197" s="12" t="n">
        <f aca="false">IF(P197=1,SUM(F197:M197)+N197,"")</f>
        <v>56.57</v>
      </c>
      <c r="R197" s="38" t="n">
        <f aca="false">IF(AND(P197=1,ISNUMBER(E197)),Q197-E197,"")</f>
        <v>-0.0300000000000082</v>
      </c>
      <c r="S197" s="31" t="n">
        <v>0</v>
      </c>
      <c r="T197" s="27" t="s">
        <v>364</v>
      </c>
    </row>
    <row r="198" customFormat="false" ht="15" hidden="false" customHeight="false" outlineLevel="0" collapsed="false">
      <c r="A198" s="31" t="n">
        <v>2024</v>
      </c>
      <c r="B198" s="31" t="n">
        <v>68</v>
      </c>
      <c r="C198" s="27" t="s">
        <v>333</v>
      </c>
      <c r="D198" s="27" t="s">
        <v>363</v>
      </c>
      <c r="E198" s="31" t="n">
        <v>52</v>
      </c>
      <c r="F198" s="31" t="n">
        <v>15</v>
      </c>
      <c r="G198" s="31" t="n">
        <v>37</v>
      </c>
      <c r="H198" s="31" t="n">
        <v>10</v>
      </c>
      <c r="I198" s="31"/>
      <c r="J198" s="31"/>
      <c r="K198" s="31"/>
      <c r="L198" s="31"/>
      <c r="M198" s="31"/>
      <c r="N198" s="31" t="n">
        <v>-10</v>
      </c>
      <c r="O198" s="31"/>
      <c r="P198" s="31" t="n">
        <v>1</v>
      </c>
      <c r="Q198" s="12" t="n">
        <f aca="false">IF(P198=1,SUM(F198:M198)+N198,"")</f>
        <v>52</v>
      </c>
      <c r="R198" s="38" t="n">
        <f aca="false">IF(AND(P198=1,ISNUMBER(E198)),Q198-E198,"")</f>
        <v>0</v>
      </c>
      <c r="S198" s="31" t="n">
        <v>0</v>
      </c>
      <c r="T198" s="27" t="s">
        <v>364</v>
      </c>
    </row>
    <row r="199" customFormat="false" ht="15" hidden="false" customHeight="false" outlineLevel="0" collapsed="false">
      <c r="A199" s="31" t="n">
        <v>2024</v>
      </c>
      <c r="B199" s="31" t="n">
        <v>69</v>
      </c>
      <c r="C199" s="27" t="s">
        <v>367</v>
      </c>
      <c r="D199" s="27" t="s">
        <v>363</v>
      </c>
      <c r="E199" s="31" t="n">
        <v>30.6</v>
      </c>
      <c r="F199" s="31"/>
      <c r="G199" s="31" t="n">
        <v>20.6</v>
      </c>
      <c r="H199" s="31" t="n">
        <v>10</v>
      </c>
      <c r="I199" s="31"/>
      <c r="J199" s="31"/>
      <c r="K199" s="31"/>
      <c r="L199" s="31"/>
      <c r="M199" s="31"/>
      <c r="N199" s="31"/>
      <c r="O199" s="31"/>
      <c r="P199" s="31" t="n">
        <v>1</v>
      </c>
      <c r="Q199" s="12" t="n">
        <f aca="false">IF(P199=1,SUM(F199:M199)+N199,"")</f>
        <v>30.6</v>
      </c>
      <c r="R199" s="38" t="n">
        <f aca="false">IF(AND(P199=1,ISNUMBER(E199)),Q199-E199,"")</f>
        <v>0</v>
      </c>
      <c r="S199" s="31" t="n">
        <v>0</v>
      </c>
      <c r="T199" s="27" t="s">
        <v>364</v>
      </c>
    </row>
    <row r="200" customFormat="false" ht="15" hidden="false" customHeight="false" outlineLevel="0" collapsed="false">
      <c r="A200" s="31" t="n">
        <v>2024</v>
      </c>
      <c r="B200" s="31" t="n">
        <v>70</v>
      </c>
      <c r="C200" s="27" t="s">
        <v>192</v>
      </c>
      <c r="D200" s="27" t="s">
        <v>363</v>
      </c>
      <c r="E200" s="31" t="n">
        <v>30</v>
      </c>
      <c r="F200" s="31"/>
      <c r="G200" s="31" t="n">
        <v>30.2</v>
      </c>
      <c r="H200" s="31" t="n">
        <v>10</v>
      </c>
      <c r="I200" s="31"/>
      <c r="J200" s="31"/>
      <c r="K200" s="31"/>
      <c r="L200" s="31"/>
      <c r="M200" s="31"/>
      <c r="N200" s="31" t="n">
        <v>-50</v>
      </c>
      <c r="O200" s="31"/>
      <c r="P200" s="31" t="n">
        <v>1</v>
      </c>
      <c r="Q200" s="12" t="n">
        <f aca="false">IF(P200=1,SUM(F200:M200)+N200,"")</f>
        <v>-9.8</v>
      </c>
      <c r="R200" s="38" t="n">
        <f aca="false">IF(AND(P200=1,ISNUMBER(E200)),Q200-E200,"")</f>
        <v>-39.8</v>
      </c>
      <c r="S200" s="31" t="n">
        <v>0</v>
      </c>
      <c r="T200" s="27" t="s">
        <v>376</v>
      </c>
    </row>
    <row r="201" customFormat="false" ht="15" hidden="false" customHeight="false" outlineLevel="0" collapsed="false">
      <c r="A201" s="31" t="n">
        <v>2024</v>
      </c>
      <c r="B201" s="31"/>
      <c r="C201" s="27" t="s">
        <v>226</v>
      </c>
      <c r="D201" s="27" t="s">
        <v>368</v>
      </c>
      <c r="E201" s="31" t="n">
        <v>20.2</v>
      </c>
      <c r="F201" s="31"/>
      <c r="G201" s="31" t="n">
        <v>20.2</v>
      </c>
      <c r="H201" s="31"/>
      <c r="I201" s="31"/>
      <c r="J201" s="31"/>
      <c r="K201" s="31"/>
      <c r="L201" s="31"/>
      <c r="M201" s="31"/>
      <c r="N201" s="31"/>
      <c r="O201" s="31"/>
      <c r="P201" s="31" t="n">
        <v>0</v>
      </c>
      <c r="Q201" s="12" t="str">
        <f aca="false">IF(P201=1,SUM(F201:M201)+N201,"")</f>
        <v/>
      </c>
      <c r="R201" s="38" t="str">
        <f aca="false">IF(AND(P201=1,ISNUMBER(E201)),Q201-E201,"")</f>
        <v/>
      </c>
      <c r="S201" s="31" t="n">
        <v>0</v>
      </c>
      <c r="T201" s="27" t="s">
        <v>364</v>
      </c>
    </row>
    <row r="202" customFormat="false" ht="15" hidden="false" customHeight="false" outlineLevel="0" collapsed="false">
      <c r="A202" s="31" t="n">
        <v>2024</v>
      </c>
      <c r="B202" s="31"/>
      <c r="C202" s="27" t="s">
        <v>196</v>
      </c>
      <c r="D202" s="27" t="s">
        <v>372</v>
      </c>
      <c r="E202" s="31"/>
      <c r="F202" s="31"/>
      <c r="G202" s="31"/>
      <c r="H202" s="31"/>
      <c r="I202" s="31"/>
      <c r="J202" s="31"/>
      <c r="K202" s="31"/>
      <c r="L202" s="31"/>
      <c r="M202" s="31"/>
      <c r="N202" s="31"/>
      <c r="O202" s="31"/>
      <c r="P202" s="31" t="n">
        <v>0</v>
      </c>
      <c r="Q202" s="12" t="str">
        <f aca="false">IF(P202=1,SUM(F202:M202)+N202,"")</f>
        <v/>
      </c>
      <c r="R202" s="38" t="str">
        <f aca="false">IF(AND(P202=1,ISNUMBER(E202)),Q202-E202,"")</f>
        <v/>
      </c>
      <c r="S202" s="31" t="n">
        <v>0</v>
      </c>
      <c r="T202" s="27" t="s">
        <v>364</v>
      </c>
    </row>
    <row r="203" customFormat="false" ht="15" hidden="false" customHeight="false" outlineLevel="0" collapsed="false">
      <c r="A203" s="31" t="n">
        <v>2024</v>
      </c>
      <c r="B203" s="31"/>
      <c r="C203" s="27" t="s">
        <v>205</v>
      </c>
      <c r="D203" s="27" t="s">
        <v>368</v>
      </c>
      <c r="E203" s="31" t="n">
        <v>44.6</v>
      </c>
      <c r="F203" s="31"/>
      <c r="G203" s="31" t="n">
        <v>44.6</v>
      </c>
      <c r="H203" s="31"/>
      <c r="I203" s="31"/>
      <c r="J203" s="31"/>
      <c r="K203" s="31"/>
      <c r="L203" s="31"/>
      <c r="M203" s="31"/>
      <c r="N203" s="31"/>
      <c r="O203" s="31"/>
      <c r="P203" s="31" t="n">
        <v>0</v>
      </c>
      <c r="Q203" s="12" t="str">
        <f aca="false">IF(P203=1,SUM(F203:M203)+N203,"")</f>
        <v/>
      </c>
      <c r="R203" s="38" t="str">
        <f aca="false">IF(AND(P203=1,ISNUMBER(E203)),Q203-E203,"")</f>
        <v/>
      </c>
      <c r="S203" s="31" t="n">
        <v>0</v>
      </c>
      <c r="T203" s="27" t="s">
        <v>364</v>
      </c>
    </row>
    <row r="204" customFormat="false" ht="15" hidden="false" customHeight="false" outlineLevel="0" collapsed="false">
      <c r="A204" s="31" t="n">
        <v>2024</v>
      </c>
      <c r="B204" s="31"/>
      <c r="C204" s="27" t="s">
        <v>207</v>
      </c>
      <c r="D204" s="27" t="s">
        <v>368</v>
      </c>
      <c r="E204" s="31" t="n">
        <v>31.8</v>
      </c>
      <c r="F204" s="31"/>
      <c r="G204" s="31" t="n">
        <v>31.8</v>
      </c>
      <c r="H204" s="31"/>
      <c r="I204" s="31"/>
      <c r="J204" s="31"/>
      <c r="K204" s="31"/>
      <c r="L204" s="31"/>
      <c r="M204" s="31"/>
      <c r="N204" s="31"/>
      <c r="O204" s="31"/>
      <c r="P204" s="31" t="n">
        <v>0</v>
      </c>
      <c r="Q204" s="12" t="str">
        <f aca="false">IF(P204=1,SUM(F204:M204)+N204,"")</f>
        <v/>
      </c>
      <c r="R204" s="38" t="str">
        <f aca="false">IF(AND(P204=1,ISNUMBER(E204)),Q204-E204,"")</f>
        <v/>
      </c>
      <c r="S204" s="31" t="n">
        <v>0</v>
      </c>
      <c r="T204" s="27" t="s">
        <v>364</v>
      </c>
    </row>
    <row r="205" customFormat="false" ht="15" hidden="false" customHeight="false" outlineLevel="0" collapsed="false">
      <c r="A205" s="31" t="n">
        <v>2024</v>
      </c>
      <c r="B205" s="31"/>
      <c r="C205" s="27" t="s">
        <v>258</v>
      </c>
      <c r="D205" s="27" t="s">
        <v>368</v>
      </c>
      <c r="E205" s="31" t="n">
        <v>28.3</v>
      </c>
      <c r="F205" s="31"/>
      <c r="G205" s="31" t="n">
        <v>28.2</v>
      </c>
      <c r="H205" s="31"/>
      <c r="I205" s="31"/>
      <c r="J205" s="31"/>
      <c r="K205" s="31"/>
      <c r="L205" s="31"/>
      <c r="M205" s="31"/>
      <c r="N205" s="31"/>
      <c r="O205" s="31"/>
      <c r="P205" s="31" t="n">
        <v>0</v>
      </c>
      <c r="Q205" s="12" t="str">
        <f aca="false">IF(P205=1,SUM(F205:M205)+N205,"")</f>
        <v/>
      </c>
      <c r="R205" s="38" t="str">
        <f aca="false">IF(AND(P205=1,ISNUMBER(E205)),Q205-E205,"")</f>
        <v/>
      </c>
      <c r="S205" s="31" t="n">
        <v>0</v>
      </c>
      <c r="T205" s="27" t="s">
        <v>364</v>
      </c>
    </row>
    <row r="206" customFormat="false" ht="15" hidden="false" customHeight="false" outlineLevel="0" collapsed="false">
      <c r="A206" s="31" t="n">
        <v>2024</v>
      </c>
      <c r="B206" s="31"/>
      <c r="C206" s="27" t="s">
        <v>155</v>
      </c>
      <c r="D206" s="27" t="s">
        <v>368</v>
      </c>
      <c r="E206" s="31" t="n">
        <v>41.2</v>
      </c>
      <c r="F206" s="31"/>
      <c r="G206" s="31" t="n">
        <v>41.2</v>
      </c>
      <c r="H206" s="31"/>
      <c r="I206" s="31"/>
      <c r="J206" s="31"/>
      <c r="K206" s="31"/>
      <c r="L206" s="31"/>
      <c r="M206" s="31"/>
      <c r="N206" s="31"/>
      <c r="O206" s="31"/>
      <c r="P206" s="31" t="n">
        <v>0</v>
      </c>
      <c r="Q206" s="12" t="str">
        <f aca="false">IF(P206=1,SUM(F206:M206)+N206,"")</f>
        <v/>
      </c>
      <c r="R206" s="38" t="str">
        <f aca="false">IF(AND(P206=1,ISNUMBER(E206)),Q206-E206,"")</f>
        <v/>
      </c>
      <c r="S206" s="31" t="n">
        <v>0</v>
      </c>
      <c r="T206" s="27" t="s">
        <v>364</v>
      </c>
    </row>
    <row r="207" customFormat="false" ht="15" hidden="false" customHeight="false" outlineLevel="0" collapsed="false">
      <c r="A207" s="31" t="n">
        <v>2024</v>
      </c>
      <c r="B207" s="31"/>
      <c r="C207" s="27" t="s">
        <v>185</v>
      </c>
      <c r="D207" s="27" t="s">
        <v>368</v>
      </c>
      <c r="E207" s="31" t="n">
        <v>22.8</v>
      </c>
      <c r="F207" s="31"/>
      <c r="G207" s="31" t="n">
        <v>22.7</v>
      </c>
      <c r="H207" s="31"/>
      <c r="I207" s="31"/>
      <c r="J207" s="31"/>
      <c r="K207" s="31"/>
      <c r="L207" s="31"/>
      <c r="M207" s="31"/>
      <c r="N207" s="31"/>
      <c r="O207" s="31"/>
      <c r="P207" s="31" t="n">
        <v>0</v>
      </c>
      <c r="Q207" s="12" t="str">
        <f aca="false">IF(P207=1,SUM(F207:M207)+N207,"")</f>
        <v/>
      </c>
      <c r="R207" s="38" t="str">
        <f aca="false">IF(AND(P207=1,ISNUMBER(E207)),Q207-E207,"")</f>
        <v/>
      </c>
      <c r="S207" s="31" t="n">
        <v>0</v>
      </c>
      <c r="T207" s="27" t="s">
        <v>364</v>
      </c>
    </row>
    <row r="208" customFormat="false" ht="15" hidden="false" customHeight="false" outlineLevel="0" collapsed="false">
      <c r="A208" s="31" t="n">
        <v>2024</v>
      </c>
      <c r="B208" s="31"/>
      <c r="C208" s="27" t="s">
        <v>166</v>
      </c>
      <c r="D208" s="27" t="s">
        <v>368</v>
      </c>
      <c r="E208" s="31" t="n">
        <v>50.3</v>
      </c>
      <c r="F208" s="31"/>
      <c r="G208" s="31" t="n">
        <v>50.3</v>
      </c>
      <c r="H208" s="31"/>
      <c r="I208" s="31"/>
      <c r="J208" s="31"/>
      <c r="K208" s="31"/>
      <c r="L208" s="31"/>
      <c r="M208" s="31"/>
      <c r="N208" s="31"/>
      <c r="O208" s="31"/>
      <c r="P208" s="31" t="n">
        <v>0</v>
      </c>
      <c r="Q208" s="12" t="str">
        <f aca="false">IF(P208=1,SUM(F208:M208)+N208,"")</f>
        <v/>
      </c>
      <c r="R208" s="38" t="str">
        <f aca="false">IF(AND(P208=1,ISNUMBER(E208)),Q208-E208,"")</f>
        <v/>
      </c>
      <c r="S208" s="31" t="n">
        <v>0</v>
      </c>
      <c r="T208" s="27" t="s">
        <v>364</v>
      </c>
    </row>
    <row r="209" customFormat="false" ht="15" hidden="false" customHeight="false" outlineLevel="0" collapsed="false">
      <c r="A209" s="31" t="n">
        <v>2024</v>
      </c>
      <c r="B209" s="31"/>
      <c r="C209" s="27" t="s">
        <v>377</v>
      </c>
      <c r="D209" s="27" t="s">
        <v>378</v>
      </c>
      <c r="E209" s="31"/>
      <c r="F209" s="31"/>
      <c r="G209" s="31"/>
      <c r="H209" s="31"/>
      <c r="I209" s="31"/>
      <c r="J209" s="31"/>
      <c r="K209" s="31"/>
      <c r="L209" s="31"/>
      <c r="M209" s="31"/>
      <c r="N209" s="31"/>
      <c r="O209" s="31"/>
      <c r="P209" s="31" t="n">
        <v>0</v>
      </c>
      <c r="Q209" s="12" t="str">
        <f aca="false">IF(P209=1,SUM(F209:M209)+N209,"")</f>
        <v/>
      </c>
      <c r="R209" s="38" t="str">
        <f aca="false">IF(AND(P209=1,ISNUMBER(E209)),Q209-E209,"")</f>
        <v/>
      </c>
      <c r="S209" s="31" t="n">
        <v>0</v>
      </c>
      <c r="T209" s="27" t="s">
        <v>364</v>
      </c>
    </row>
    <row r="210" customFormat="false" ht="15" hidden="false" customHeight="false" outlineLevel="0" collapsed="false">
      <c r="A210" s="31" t="n">
        <v>2025</v>
      </c>
      <c r="B210" s="31" t="n">
        <v>1</v>
      </c>
      <c r="C210" s="27" t="s">
        <v>36</v>
      </c>
      <c r="D210" s="27" t="s">
        <v>363</v>
      </c>
      <c r="E210" s="31" t="n">
        <v>790.4</v>
      </c>
      <c r="F210" s="31" t="n">
        <v>75.15</v>
      </c>
      <c r="G210" s="31" t="n">
        <v>18.9</v>
      </c>
      <c r="H210" s="31" t="n">
        <v>120</v>
      </c>
      <c r="I210" s="31" t="n">
        <v>83.96</v>
      </c>
      <c r="J210" s="31" t="n">
        <v>75</v>
      </c>
      <c r="K210" s="31" t="n">
        <v>120.32</v>
      </c>
      <c r="L210" s="31" t="n">
        <v>248.4</v>
      </c>
      <c r="M210" s="31" t="n">
        <v>48.7</v>
      </c>
      <c r="N210" s="31"/>
      <c r="O210" s="31"/>
      <c r="P210" s="31" t="n">
        <v>1</v>
      </c>
      <c r="Q210" s="12" t="n">
        <f aca="false">IF(P210=1,SUM(F210:M210)+N210,"")</f>
        <v>790.43</v>
      </c>
      <c r="R210" s="38" t="n">
        <f aca="false">IF(AND(P210=1,ISNUMBER(E210)),Q210-E210,"")</f>
        <v>0.0299999999999727</v>
      </c>
      <c r="S210" s="31" t="n">
        <v>0</v>
      </c>
      <c r="T210" s="27" t="s">
        <v>364</v>
      </c>
    </row>
    <row r="211" customFormat="false" ht="15" hidden="false" customHeight="false" outlineLevel="0" collapsed="false">
      <c r="A211" s="31" t="n">
        <v>2025</v>
      </c>
      <c r="B211" s="31" t="n">
        <v>2</v>
      </c>
      <c r="C211" s="27" t="s">
        <v>149</v>
      </c>
      <c r="D211" s="27" t="s">
        <v>363</v>
      </c>
      <c r="E211" s="31" t="n">
        <v>785.2</v>
      </c>
      <c r="F211" s="31" t="n">
        <v>86.55</v>
      </c>
      <c r="G211" s="31" t="n">
        <v>63.4</v>
      </c>
      <c r="H211" s="31" t="n">
        <v>115</v>
      </c>
      <c r="I211" s="31" t="n">
        <v>71.46</v>
      </c>
      <c r="J211" s="31" t="n">
        <v>53.91</v>
      </c>
      <c r="K211" s="31" t="n">
        <v>119.86</v>
      </c>
      <c r="L211" s="31" t="n">
        <v>275</v>
      </c>
      <c r="M211" s="31"/>
      <c r="N211" s="31"/>
      <c r="O211" s="31"/>
      <c r="P211" s="31" t="n">
        <v>1</v>
      </c>
      <c r="Q211" s="12" t="n">
        <f aca="false">IF(P211=1,SUM(F211:M211)+N211,"")</f>
        <v>785.18</v>
      </c>
      <c r="R211" s="38" t="n">
        <f aca="false">IF(AND(P211=1,ISNUMBER(E211)),Q211-E211,"")</f>
        <v>-0.0200000000000955</v>
      </c>
      <c r="S211" s="31" t="n">
        <v>0</v>
      </c>
      <c r="T211" s="27" t="s">
        <v>364</v>
      </c>
    </row>
    <row r="212" customFormat="false" ht="15" hidden="false" customHeight="false" outlineLevel="0" collapsed="false">
      <c r="A212" s="31" t="n">
        <v>2025</v>
      </c>
      <c r="B212" s="31" t="n">
        <v>3</v>
      </c>
      <c r="C212" s="27" t="s">
        <v>150</v>
      </c>
      <c r="D212" s="27" t="s">
        <v>363</v>
      </c>
      <c r="E212" s="31" t="n">
        <v>772.2</v>
      </c>
      <c r="F212" s="31" t="n">
        <v>82.12</v>
      </c>
      <c r="G212" s="31" t="n">
        <v>15</v>
      </c>
      <c r="H212" s="31" t="n">
        <v>135</v>
      </c>
      <c r="I212" s="31" t="n">
        <v>100</v>
      </c>
      <c r="J212" s="31" t="n">
        <v>72.85</v>
      </c>
      <c r="K212" s="31" t="n">
        <v>114.68</v>
      </c>
      <c r="L212" s="31" t="n">
        <v>187.3</v>
      </c>
      <c r="M212" s="31" t="n">
        <v>65.2</v>
      </c>
      <c r="N212" s="31"/>
      <c r="O212" s="31"/>
      <c r="P212" s="31" t="n">
        <v>1</v>
      </c>
      <c r="Q212" s="12" t="n">
        <f aca="false">IF(P212=1,SUM(F212:M212)+N212,"")</f>
        <v>772.15</v>
      </c>
      <c r="R212" s="38" t="n">
        <f aca="false">IF(AND(P212=1,ISNUMBER(E212)),Q212-E212,"")</f>
        <v>-0.0500000000000682</v>
      </c>
      <c r="S212" s="31" t="n">
        <v>0</v>
      </c>
      <c r="T212" s="27" t="s">
        <v>364</v>
      </c>
    </row>
    <row r="213" customFormat="false" ht="15" hidden="false" customHeight="false" outlineLevel="0" collapsed="false">
      <c r="A213" s="31" t="n">
        <v>2025</v>
      </c>
      <c r="B213" s="31" t="n">
        <v>4</v>
      </c>
      <c r="C213" s="27" t="s">
        <v>33</v>
      </c>
      <c r="D213" s="27" t="s">
        <v>363</v>
      </c>
      <c r="E213" s="31" t="n">
        <v>756.1</v>
      </c>
      <c r="F213" s="31" t="n">
        <v>78.64</v>
      </c>
      <c r="G213" s="31" t="n">
        <v>26</v>
      </c>
      <c r="H213" s="31" t="n">
        <v>110</v>
      </c>
      <c r="I213" s="31" t="n">
        <v>76.71</v>
      </c>
      <c r="J213" s="31" t="n">
        <v>57.92</v>
      </c>
      <c r="K213" s="31" t="n">
        <v>123.11</v>
      </c>
      <c r="L213" s="31" t="n">
        <v>250.5</v>
      </c>
      <c r="M213" s="31" t="n">
        <v>33.2</v>
      </c>
      <c r="N213" s="31"/>
      <c r="O213" s="31"/>
      <c r="P213" s="31" t="n">
        <v>1</v>
      </c>
      <c r="Q213" s="12" t="n">
        <f aca="false">IF(P213=1,SUM(F213:M213)+N213,"")</f>
        <v>756.08</v>
      </c>
      <c r="R213" s="38" t="n">
        <f aca="false">IF(AND(P213=1,ISNUMBER(E213)),Q213-E213,"")</f>
        <v>-0.0199999999999818</v>
      </c>
      <c r="S213" s="31" t="n">
        <v>0</v>
      </c>
      <c r="T213" s="27" t="s">
        <v>364</v>
      </c>
    </row>
    <row r="214" customFormat="false" ht="15" hidden="false" customHeight="false" outlineLevel="0" collapsed="false">
      <c r="A214" s="31" t="n">
        <v>2025</v>
      </c>
      <c r="B214" s="31" t="n">
        <v>5</v>
      </c>
      <c r="C214" s="27" t="s">
        <v>151</v>
      </c>
      <c r="D214" s="27" t="s">
        <v>363</v>
      </c>
      <c r="E214" s="31" t="n">
        <v>753.5</v>
      </c>
      <c r="F214" s="31" t="n">
        <v>76.83</v>
      </c>
      <c r="G214" s="31" t="n">
        <v>59.7</v>
      </c>
      <c r="H214" s="31" t="n">
        <v>105</v>
      </c>
      <c r="I214" s="31" t="n">
        <v>95.59</v>
      </c>
      <c r="J214" s="31" t="n">
        <v>63.6</v>
      </c>
      <c r="K214" s="31" t="n">
        <v>125</v>
      </c>
      <c r="L214" s="31" t="n">
        <v>166.7</v>
      </c>
      <c r="M214" s="31" t="n">
        <v>61.2</v>
      </c>
      <c r="N214" s="31"/>
      <c r="O214" s="31"/>
      <c r="P214" s="31" t="n">
        <v>1</v>
      </c>
      <c r="Q214" s="12" t="n">
        <f aca="false">IF(P214=1,SUM(F214:M214)+N214,"")</f>
        <v>753.62</v>
      </c>
      <c r="R214" s="38" t="n">
        <f aca="false">IF(AND(P214=1,ISNUMBER(E214)),Q214-E214,"")</f>
        <v>0.120000000000005</v>
      </c>
      <c r="S214" s="31" t="n">
        <v>0</v>
      </c>
      <c r="T214" s="27" t="s">
        <v>364</v>
      </c>
    </row>
    <row r="215" customFormat="false" ht="15" hidden="false" customHeight="false" outlineLevel="0" collapsed="false">
      <c r="A215" s="31" t="n">
        <v>2025</v>
      </c>
      <c r="B215" s="31" t="n">
        <v>6</v>
      </c>
      <c r="C215" s="27" t="s">
        <v>153</v>
      </c>
      <c r="D215" s="27" t="s">
        <v>363</v>
      </c>
      <c r="E215" s="31" t="n">
        <v>723.4</v>
      </c>
      <c r="F215" s="31" t="n">
        <v>81.27</v>
      </c>
      <c r="G215" s="31" t="n">
        <v>67.9</v>
      </c>
      <c r="H215" s="31" t="n">
        <v>100</v>
      </c>
      <c r="I215" s="31" t="n">
        <v>58.68</v>
      </c>
      <c r="J215" s="31" t="n">
        <v>45.39</v>
      </c>
      <c r="K215" s="31" t="n">
        <v>102.9</v>
      </c>
      <c r="L215" s="31" t="n">
        <v>195</v>
      </c>
      <c r="M215" s="31" t="n">
        <v>72.2</v>
      </c>
      <c r="N215" s="31"/>
      <c r="O215" s="31"/>
      <c r="P215" s="31" t="n">
        <v>1</v>
      </c>
      <c r="Q215" s="12" t="n">
        <f aca="false">IF(P215=1,SUM(F215:M215)+N215,"")</f>
        <v>723.34</v>
      </c>
      <c r="R215" s="38" t="n">
        <f aca="false">IF(AND(P215=1,ISNUMBER(E215)),Q215-E215,"")</f>
        <v>-0.0599999999999454</v>
      </c>
      <c r="S215" s="31" t="n">
        <v>0</v>
      </c>
      <c r="T215" s="27" t="s">
        <v>364</v>
      </c>
    </row>
    <row r="216" customFormat="false" ht="15" hidden="false" customHeight="false" outlineLevel="0" collapsed="false">
      <c r="A216" s="31" t="n">
        <v>2025</v>
      </c>
      <c r="B216" s="31" t="n">
        <v>7</v>
      </c>
      <c r="C216" s="27" t="s">
        <v>162</v>
      </c>
      <c r="D216" s="27" t="s">
        <v>363</v>
      </c>
      <c r="E216" s="31" t="n">
        <v>708.6</v>
      </c>
      <c r="F216" s="31" t="n">
        <v>73.36</v>
      </c>
      <c r="G216" s="31" t="n">
        <v>64.3</v>
      </c>
      <c r="H216" s="31" t="n">
        <v>125</v>
      </c>
      <c r="I216" s="31" t="n">
        <v>69.83</v>
      </c>
      <c r="J216" s="31" t="n">
        <v>64.34</v>
      </c>
      <c r="K216" s="31" t="n">
        <v>113.1</v>
      </c>
      <c r="L216" s="31" t="n">
        <v>127.4</v>
      </c>
      <c r="M216" s="31" t="n">
        <v>71.3</v>
      </c>
      <c r="N216" s="31"/>
      <c r="O216" s="31"/>
      <c r="P216" s="31" t="n">
        <v>1</v>
      </c>
      <c r="Q216" s="12" t="n">
        <f aca="false">IF(P216=1,SUM(F216:M216)+N216,"")</f>
        <v>708.63</v>
      </c>
      <c r="R216" s="38" t="n">
        <f aca="false">IF(AND(P216=1,ISNUMBER(E216)),Q216-E216,"")</f>
        <v>0.0299999999999727</v>
      </c>
      <c r="S216" s="31" t="n">
        <v>0</v>
      </c>
      <c r="T216" s="27" t="s">
        <v>364</v>
      </c>
    </row>
    <row r="217" customFormat="false" ht="15" hidden="false" customHeight="false" outlineLevel="0" collapsed="false">
      <c r="A217" s="31" t="n">
        <v>2025</v>
      </c>
      <c r="B217" s="31" t="n">
        <v>8</v>
      </c>
      <c r="C217" s="27" t="s">
        <v>35</v>
      </c>
      <c r="D217" s="27" t="s">
        <v>363</v>
      </c>
      <c r="E217" s="31" t="n">
        <v>701.7</v>
      </c>
      <c r="F217" s="31" t="n">
        <v>72.11</v>
      </c>
      <c r="G217" s="31" t="n">
        <v>75</v>
      </c>
      <c r="H217" s="31" t="n">
        <v>100</v>
      </c>
      <c r="I217" s="31" t="n">
        <v>99.89</v>
      </c>
      <c r="J217" s="31" t="n">
        <v>74.44</v>
      </c>
      <c r="K217" s="31" t="n">
        <v>43.17</v>
      </c>
      <c r="L217" s="31" t="n">
        <v>166.1</v>
      </c>
      <c r="M217" s="31" t="n">
        <v>71</v>
      </c>
      <c r="N217" s="31"/>
      <c r="O217" s="31"/>
      <c r="P217" s="31" t="n">
        <v>1</v>
      </c>
      <c r="Q217" s="12" t="n">
        <f aca="false">IF(P217=1,SUM(F217:M217)+N217,"")</f>
        <v>701.71</v>
      </c>
      <c r="R217" s="38" t="n">
        <f aca="false">IF(AND(P217=1,ISNUMBER(E217)),Q217-E217,"")</f>
        <v>0.00999999999999091</v>
      </c>
      <c r="S217" s="31" t="n">
        <v>0</v>
      </c>
      <c r="T217" s="27" t="s">
        <v>364</v>
      </c>
    </row>
    <row r="218" customFormat="false" ht="15" hidden="false" customHeight="false" outlineLevel="0" collapsed="false">
      <c r="A218" s="31" t="n">
        <v>2025</v>
      </c>
      <c r="B218" s="31" t="n">
        <v>9</v>
      </c>
      <c r="C218" s="27" t="s">
        <v>168</v>
      </c>
      <c r="D218" s="27" t="s">
        <v>363</v>
      </c>
      <c r="E218" s="31" t="n">
        <v>597.6</v>
      </c>
      <c r="F218" s="31" t="n">
        <v>72.18</v>
      </c>
      <c r="G218" s="31" t="n">
        <v>58.5</v>
      </c>
      <c r="H218" s="31" t="n">
        <v>110</v>
      </c>
      <c r="I218" s="31" t="n">
        <v>69.5</v>
      </c>
      <c r="J218" s="31" t="n">
        <v>45.26</v>
      </c>
      <c r="K218" s="31" t="n">
        <v>106.46</v>
      </c>
      <c r="L218" s="31" t="n">
        <v>72.1</v>
      </c>
      <c r="M218" s="31" t="n">
        <v>63.6</v>
      </c>
      <c r="N218" s="31"/>
      <c r="O218" s="31"/>
      <c r="P218" s="31" t="n">
        <v>1</v>
      </c>
      <c r="Q218" s="12" t="n">
        <f aca="false">IF(P218=1,SUM(F218:M218)+N218,"")</f>
        <v>597.6</v>
      </c>
      <c r="R218" s="38" t="n">
        <f aca="false">IF(AND(P218=1,ISNUMBER(E218)),Q218-E218,"")</f>
        <v>0</v>
      </c>
      <c r="S218" s="31" t="n">
        <v>0</v>
      </c>
      <c r="T218" s="27" t="s">
        <v>364</v>
      </c>
    </row>
    <row r="219" customFormat="false" ht="15" hidden="false" customHeight="false" outlineLevel="0" collapsed="false">
      <c r="A219" s="31" t="n">
        <v>2025</v>
      </c>
      <c r="B219" s="31" t="n">
        <v>10</v>
      </c>
      <c r="C219" s="27" t="s">
        <v>170</v>
      </c>
      <c r="D219" s="27" t="s">
        <v>363</v>
      </c>
      <c r="E219" s="31" t="n">
        <v>593</v>
      </c>
      <c r="F219" s="31" t="n">
        <v>86.38</v>
      </c>
      <c r="G219" s="31" t="n">
        <v>17.3</v>
      </c>
      <c r="H219" s="31" t="n">
        <v>105</v>
      </c>
      <c r="I219" s="31" t="n">
        <v>24.8</v>
      </c>
      <c r="J219" s="31" t="n">
        <v>54.73</v>
      </c>
      <c r="K219" s="31" t="n">
        <v>108.24</v>
      </c>
      <c r="L219" s="31" t="n">
        <v>140.5</v>
      </c>
      <c r="M219" s="31" t="n">
        <v>56</v>
      </c>
      <c r="N219" s="31"/>
      <c r="O219" s="31"/>
      <c r="P219" s="31" t="n">
        <v>1</v>
      </c>
      <c r="Q219" s="12" t="n">
        <f aca="false">IF(P219=1,SUM(F219:M219)+N219,"")</f>
        <v>592.95</v>
      </c>
      <c r="R219" s="38" t="n">
        <f aca="false">IF(AND(P219=1,ISNUMBER(E219)),Q219-E219,"")</f>
        <v>-0.0499999999999545</v>
      </c>
      <c r="S219" s="31" t="n">
        <v>0</v>
      </c>
      <c r="T219" s="27" t="s">
        <v>364</v>
      </c>
    </row>
    <row r="220" customFormat="false" ht="15" hidden="false" customHeight="false" outlineLevel="0" collapsed="false">
      <c r="A220" s="31" t="n">
        <v>2025</v>
      </c>
      <c r="B220" s="31" t="n">
        <v>11</v>
      </c>
      <c r="C220" s="27" t="s">
        <v>163</v>
      </c>
      <c r="D220" s="27" t="s">
        <v>363</v>
      </c>
      <c r="E220" s="31" t="n">
        <v>592.5</v>
      </c>
      <c r="F220" s="31" t="n">
        <v>78.83</v>
      </c>
      <c r="G220" s="31" t="n">
        <v>54.5</v>
      </c>
      <c r="H220" s="31" t="n">
        <v>125</v>
      </c>
      <c r="I220" s="31" t="n">
        <v>32.45</v>
      </c>
      <c r="J220" s="31" t="n">
        <v>74.76</v>
      </c>
      <c r="K220" s="31" t="n">
        <v>113.07</v>
      </c>
      <c r="L220" s="31" t="n">
        <v>23</v>
      </c>
      <c r="M220" s="31" t="n">
        <v>90.9</v>
      </c>
      <c r="N220" s="31"/>
      <c r="O220" s="31"/>
      <c r="P220" s="31" t="n">
        <v>1</v>
      </c>
      <c r="Q220" s="12" t="n">
        <f aca="false">IF(P220=1,SUM(F220:M220)+N220,"")</f>
        <v>592.51</v>
      </c>
      <c r="R220" s="38" t="n">
        <f aca="false">IF(AND(P220=1,ISNUMBER(E220)),Q220-E220,"")</f>
        <v>0.00999999999999091</v>
      </c>
      <c r="S220" s="31" t="n">
        <v>0</v>
      </c>
      <c r="T220" s="27" t="s">
        <v>364</v>
      </c>
    </row>
    <row r="221" customFormat="false" ht="15" hidden="false" customHeight="false" outlineLevel="0" collapsed="false">
      <c r="A221" s="31" t="n">
        <v>2025</v>
      </c>
      <c r="B221" s="31" t="n">
        <v>12</v>
      </c>
      <c r="C221" s="27" t="s">
        <v>152</v>
      </c>
      <c r="D221" s="27" t="s">
        <v>363</v>
      </c>
      <c r="E221" s="31" t="n">
        <v>566.6</v>
      </c>
      <c r="F221" s="31" t="n">
        <v>82</v>
      </c>
      <c r="G221" s="31" t="n">
        <v>60.1</v>
      </c>
      <c r="H221" s="31" t="n">
        <v>150</v>
      </c>
      <c r="I221" s="31" t="n">
        <v>75.36</v>
      </c>
      <c r="J221" s="31" t="n">
        <v>73.4</v>
      </c>
      <c r="K221" s="31" t="n">
        <v>123.72</v>
      </c>
      <c r="L221" s="31" t="n">
        <v>2</v>
      </c>
      <c r="M221" s="31"/>
      <c r="N221" s="31"/>
      <c r="O221" s="31"/>
      <c r="P221" s="31" t="n">
        <v>1</v>
      </c>
      <c r="Q221" s="12" t="n">
        <f aca="false">IF(P221=1,SUM(F221:M221)+N221,"")</f>
        <v>566.58</v>
      </c>
      <c r="R221" s="38" t="n">
        <f aca="false">IF(AND(P221=1,ISNUMBER(E221)),Q221-E221,"")</f>
        <v>-0.0199999999999818</v>
      </c>
      <c r="S221" s="31" t="n">
        <v>0</v>
      </c>
      <c r="T221" s="27" t="s">
        <v>364</v>
      </c>
    </row>
    <row r="222" customFormat="false" ht="15" hidden="false" customHeight="false" outlineLevel="0" collapsed="false">
      <c r="A222" s="16" t="n">
        <v>2025</v>
      </c>
      <c r="B222" s="16" t="n">
        <v>13</v>
      </c>
      <c r="C222" s="36" t="s">
        <v>148</v>
      </c>
      <c r="D222" s="36" t="s">
        <v>363</v>
      </c>
      <c r="E222" s="16" t="n">
        <v>518</v>
      </c>
      <c r="F222" s="16" t="n">
        <v>90.22</v>
      </c>
      <c r="G222" s="16" t="n">
        <v>49.9</v>
      </c>
      <c r="H222" s="16" t="n">
        <v>130</v>
      </c>
      <c r="I222" s="16" t="n">
        <v>81.34</v>
      </c>
      <c r="J222" s="16" t="n">
        <v>56.45</v>
      </c>
      <c r="K222" s="16" t="n">
        <v>89.03</v>
      </c>
      <c r="L222" s="16" t="n">
        <v>21</v>
      </c>
      <c r="M222" s="16"/>
      <c r="N222" s="16"/>
      <c r="O222" s="16"/>
      <c r="P222" s="16" t="n">
        <v>1</v>
      </c>
      <c r="Q222" s="19" t="n">
        <f aca="false">IF(P222=1,SUM(F222:M222)+N222,"")</f>
        <v>517.94</v>
      </c>
      <c r="R222" s="39" t="n">
        <f aca="false">IF(AND(P222=1,ISNUMBER(E222)),Q222-E222,"")</f>
        <v>-0.0599999999999454</v>
      </c>
      <c r="S222" s="45" t="n">
        <v>1</v>
      </c>
      <c r="T222" s="46" t="s">
        <v>364</v>
      </c>
    </row>
    <row r="223" customFormat="false" ht="15" hidden="false" customHeight="false" outlineLevel="0" collapsed="false">
      <c r="A223" s="31" t="n">
        <v>2025</v>
      </c>
      <c r="B223" s="31" t="n">
        <v>14</v>
      </c>
      <c r="C223" s="27" t="s">
        <v>155</v>
      </c>
      <c r="D223" s="27" t="s">
        <v>363</v>
      </c>
      <c r="E223" s="31" t="n">
        <v>507.4</v>
      </c>
      <c r="F223" s="31" t="n">
        <v>63.31</v>
      </c>
      <c r="G223" s="31" t="n">
        <v>18.9</v>
      </c>
      <c r="H223" s="31" t="n">
        <v>70</v>
      </c>
      <c r="I223" s="31"/>
      <c r="J223" s="31"/>
      <c r="K223" s="31" t="n">
        <v>102.31</v>
      </c>
      <c r="L223" s="31" t="n">
        <v>152.9</v>
      </c>
      <c r="M223" s="31" t="n">
        <v>100</v>
      </c>
      <c r="N223" s="31"/>
      <c r="O223" s="31"/>
      <c r="P223" s="31" t="n">
        <v>1</v>
      </c>
      <c r="Q223" s="12" t="n">
        <f aca="false">IF(P223=1,SUM(F223:M223)+N223,"")</f>
        <v>507.42</v>
      </c>
      <c r="R223" s="38" t="n">
        <f aca="false">IF(AND(P223=1,ISNUMBER(E223)),Q223-E223,"")</f>
        <v>0.0200000000000387</v>
      </c>
      <c r="S223" s="31" t="n">
        <v>0</v>
      </c>
      <c r="T223" s="27" t="s">
        <v>364</v>
      </c>
    </row>
    <row r="224" customFormat="false" ht="15" hidden="false" customHeight="false" outlineLevel="0" collapsed="false">
      <c r="A224" s="31" t="n">
        <v>2025</v>
      </c>
      <c r="B224" s="31" t="n">
        <v>15</v>
      </c>
      <c r="C224" s="27" t="s">
        <v>154</v>
      </c>
      <c r="D224" s="27" t="s">
        <v>363</v>
      </c>
      <c r="E224" s="31" t="n">
        <v>490.8</v>
      </c>
      <c r="F224" s="31" t="n">
        <v>72.9</v>
      </c>
      <c r="G224" s="31" t="n">
        <v>60.6</v>
      </c>
      <c r="H224" s="31" t="n">
        <v>129</v>
      </c>
      <c r="I224" s="31" t="n">
        <v>59.12</v>
      </c>
      <c r="J224" s="31" t="n">
        <v>46.98</v>
      </c>
      <c r="K224" s="31" t="n">
        <v>97.24</v>
      </c>
      <c r="L224" s="31" t="n">
        <v>25</v>
      </c>
      <c r="M224" s="31"/>
      <c r="N224" s="31"/>
      <c r="O224" s="31"/>
      <c r="P224" s="31" t="n">
        <v>1</v>
      </c>
      <c r="Q224" s="12" t="n">
        <f aca="false">IF(P224=1,SUM(F224:M224)+N224,"")</f>
        <v>490.84</v>
      </c>
      <c r="R224" s="38" t="n">
        <f aca="false">IF(AND(P224=1,ISNUMBER(E224)),Q224-E224,"")</f>
        <v>0.0399999999999636</v>
      </c>
      <c r="S224" s="31" t="n">
        <v>0</v>
      </c>
      <c r="T224" s="27" t="s">
        <v>364</v>
      </c>
    </row>
    <row r="225" customFormat="false" ht="15" hidden="false" customHeight="false" outlineLevel="0" collapsed="false">
      <c r="A225" s="31" t="n">
        <v>2025</v>
      </c>
      <c r="B225" s="31" t="n">
        <v>16</v>
      </c>
      <c r="C225" s="27" t="s">
        <v>217</v>
      </c>
      <c r="D225" s="27" t="s">
        <v>363</v>
      </c>
      <c r="E225" s="31" t="n">
        <v>483.4</v>
      </c>
      <c r="F225" s="31" t="n">
        <v>42.7</v>
      </c>
      <c r="G225" s="31" t="n">
        <v>19.6</v>
      </c>
      <c r="H225" s="31" t="n">
        <v>65</v>
      </c>
      <c r="I225" s="31" t="n">
        <v>54.19</v>
      </c>
      <c r="J225" s="31" t="n">
        <v>39.84</v>
      </c>
      <c r="K225" s="31" t="n">
        <v>84.61</v>
      </c>
      <c r="L225" s="31" t="n">
        <v>120.2</v>
      </c>
      <c r="M225" s="31" t="n">
        <v>57.2</v>
      </c>
      <c r="N225" s="31"/>
      <c r="O225" s="31"/>
      <c r="P225" s="31" t="n">
        <v>1</v>
      </c>
      <c r="Q225" s="12" t="n">
        <f aca="false">IF(P225=1,SUM(F225:M225)+N225,"")</f>
        <v>483.34</v>
      </c>
      <c r="R225" s="38" t="n">
        <f aca="false">IF(AND(P225=1,ISNUMBER(E225)),Q225-E225,"")</f>
        <v>-0.0599999999999454</v>
      </c>
      <c r="S225" s="31" t="n">
        <v>0</v>
      </c>
      <c r="T225" s="27" t="s">
        <v>364</v>
      </c>
    </row>
    <row r="226" customFormat="false" ht="15" hidden="false" customHeight="false" outlineLevel="0" collapsed="false">
      <c r="A226" s="31" t="n">
        <v>2025</v>
      </c>
      <c r="B226" s="31" t="n">
        <v>17</v>
      </c>
      <c r="C226" s="27" t="s">
        <v>165</v>
      </c>
      <c r="D226" s="27" t="s">
        <v>363</v>
      </c>
      <c r="E226" s="31" t="n">
        <v>460.2</v>
      </c>
      <c r="F226" s="31" t="n">
        <v>72.75</v>
      </c>
      <c r="G226" s="31" t="n">
        <v>44.1</v>
      </c>
      <c r="H226" s="31" t="n">
        <v>120</v>
      </c>
      <c r="I226" s="31" t="n">
        <v>48.67</v>
      </c>
      <c r="J226" s="31" t="n">
        <v>50.55</v>
      </c>
      <c r="K226" s="31" t="n">
        <v>110.17</v>
      </c>
      <c r="L226" s="31" t="n">
        <v>14</v>
      </c>
      <c r="M226" s="31"/>
      <c r="N226" s="31"/>
      <c r="O226" s="31"/>
      <c r="P226" s="31" t="n">
        <v>1</v>
      </c>
      <c r="Q226" s="12" t="n">
        <f aca="false">IF(P226=1,SUM(F226:M226)+N226,"")</f>
        <v>460.24</v>
      </c>
      <c r="R226" s="38" t="n">
        <f aca="false">IF(AND(P226=1,ISNUMBER(E226)),Q226-E226,"")</f>
        <v>0.0400000000000205</v>
      </c>
      <c r="S226" s="31" t="n">
        <v>0</v>
      </c>
      <c r="T226" s="27" t="s">
        <v>364</v>
      </c>
    </row>
    <row r="227" customFormat="false" ht="15" hidden="false" customHeight="false" outlineLevel="0" collapsed="false">
      <c r="A227" s="31" t="n">
        <v>2025</v>
      </c>
      <c r="B227" s="31" t="n">
        <v>18</v>
      </c>
      <c r="C227" s="27" t="s">
        <v>206</v>
      </c>
      <c r="D227" s="27" t="s">
        <v>363</v>
      </c>
      <c r="E227" s="31" t="n">
        <v>443.5</v>
      </c>
      <c r="F227" s="31" t="n">
        <v>42.16</v>
      </c>
      <c r="G227" s="31" t="n">
        <v>51.5</v>
      </c>
      <c r="H227" s="31" t="n">
        <v>75</v>
      </c>
      <c r="I227" s="31" t="n">
        <v>48.78</v>
      </c>
      <c r="J227" s="31" t="n">
        <v>44.13</v>
      </c>
      <c r="K227" s="31" t="n">
        <v>6.5</v>
      </c>
      <c r="L227" s="31" t="n">
        <v>118.8</v>
      </c>
      <c r="M227" s="31" t="n">
        <v>76.6</v>
      </c>
      <c r="N227" s="31" t="n">
        <v>-20</v>
      </c>
      <c r="O227" s="31"/>
      <c r="P227" s="31" t="n">
        <v>1</v>
      </c>
      <c r="Q227" s="12" t="n">
        <f aca="false">IF(P227=1,SUM(F227:M227)+N227,"")</f>
        <v>443.47</v>
      </c>
      <c r="R227" s="38" t="n">
        <f aca="false">IF(AND(P227=1,ISNUMBER(E227)),Q227-E227,"")</f>
        <v>-0.0300000000000296</v>
      </c>
      <c r="S227" s="31" t="n">
        <v>0</v>
      </c>
      <c r="T227" s="27" t="s">
        <v>364</v>
      </c>
    </row>
    <row r="228" customFormat="false" ht="15" hidden="false" customHeight="false" outlineLevel="0" collapsed="false">
      <c r="A228" s="31" t="n">
        <v>2025</v>
      </c>
      <c r="B228" s="31" t="n">
        <v>19</v>
      </c>
      <c r="C228" s="27" t="s">
        <v>200</v>
      </c>
      <c r="D228" s="27" t="s">
        <v>363</v>
      </c>
      <c r="E228" s="31" t="n">
        <v>423</v>
      </c>
      <c r="F228" s="31" t="n">
        <v>87.09</v>
      </c>
      <c r="G228" s="31" t="n">
        <v>67.3</v>
      </c>
      <c r="H228" s="31" t="n">
        <v>95</v>
      </c>
      <c r="I228" s="31" t="n">
        <v>19.5</v>
      </c>
      <c r="J228" s="31" t="n">
        <v>49.9</v>
      </c>
      <c r="K228" s="31" t="n">
        <v>79.22</v>
      </c>
      <c r="L228" s="31" t="n">
        <v>25</v>
      </c>
      <c r="M228" s="31"/>
      <c r="N228" s="31"/>
      <c r="O228" s="31"/>
      <c r="P228" s="31" t="n">
        <v>1</v>
      </c>
      <c r="Q228" s="12" t="n">
        <f aca="false">IF(P228=1,SUM(F228:M228)+N228,"")</f>
        <v>423.01</v>
      </c>
      <c r="R228" s="38" t="n">
        <f aca="false">IF(AND(P228=1,ISNUMBER(E228)),Q228-E228,"")</f>
        <v>0.00999999999999091</v>
      </c>
      <c r="S228" s="31" t="n">
        <v>0</v>
      </c>
      <c r="T228" s="27" t="s">
        <v>364</v>
      </c>
    </row>
    <row r="229" customFormat="false" ht="15" hidden="false" customHeight="false" outlineLevel="0" collapsed="false">
      <c r="A229" s="31" t="n">
        <v>2025</v>
      </c>
      <c r="B229" s="31" t="n">
        <v>20</v>
      </c>
      <c r="C229" s="27" t="s">
        <v>147</v>
      </c>
      <c r="D229" s="27" t="s">
        <v>363</v>
      </c>
      <c r="E229" s="31" t="n">
        <v>390.6</v>
      </c>
      <c r="F229" s="31" t="n">
        <v>75.27</v>
      </c>
      <c r="G229" s="31" t="n">
        <v>65</v>
      </c>
      <c r="H229" s="31" t="n">
        <v>115</v>
      </c>
      <c r="I229" s="31" t="n">
        <v>96.5</v>
      </c>
      <c r="J229" s="31" t="n">
        <v>36.88</v>
      </c>
      <c r="K229" s="31"/>
      <c r="L229" s="31" t="n">
        <v>2</v>
      </c>
      <c r="M229" s="31"/>
      <c r="N229" s="31"/>
      <c r="O229" s="31"/>
      <c r="P229" s="31" t="n">
        <v>1</v>
      </c>
      <c r="Q229" s="12" t="n">
        <f aca="false">IF(P229=1,SUM(F229:M229)+N229,"")</f>
        <v>391.65</v>
      </c>
      <c r="R229" s="38" t="n">
        <f aca="false">IF(AND(P229=1,ISNUMBER(E229)),Q229-E229,"")</f>
        <v>1.04999999999995</v>
      </c>
      <c r="S229" s="31" t="n">
        <v>0</v>
      </c>
      <c r="T229" s="27" t="s">
        <v>364</v>
      </c>
    </row>
    <row r="230" customFormat="false" ht="15" hidden="false" customHeight="false" outlineLevel="0" collapsed="false">
      <c r="A230" s="31" t="n">
        <v>2025</v>
      </c>
      <c r="B230" s="31" t="n">
        <v>21</v>
      </c>
      <c r="C230" s="27" t="s">
        <v>224</v>
      </c>
      <c r="D230" s="27" t="s">
        <v>363</v>
      </c>
      <c r="E230" s="31" t="n">
        <v>379.3</v>
      </c>
      <c r="F230" s="31" t="n">
        <v>58.5</v>
      </c>
      <c r="G230" s="31" t="n">
        <v>57.6</v>
      </c>
      <c r="H230" s="31" t="n">
        <v>65</v>
      </c>
      <c r="I230" s="31" t="n">
        <v>46.84</v>
      </c>
      <c r="J230" s="31" t="n">
        <v>52.96</v>
      </c>
      <c r="K230" s="31" t="n">
        <v>104.38</v>
      </c>
      <c r="L230" s="31" t="n">
        <v>14</v>
      </c>
      <c r="M230" s="31"/>
      <c r="N230" s="31" t="n">
        <v>-20</v>
      </c>
      <c r="O230" s="31"/>
      <c r="P230" s="31" t="n">
        <v>1</v>
      </c>
      <c r="Q230" s="12" t="n">
        <f aca="false">IF(P230=1,SUM(F230:M230)+N230,"")</f>
        <v>379.28</v>
      </c>
      <c r="R230" s="38" t="n">
        <f aca="false">IF(AND(P230=1,ISNUMBER(E230)),Q230-E230,"")</f>
        <v>-0.0200000000000387</v>
      </c>
      <c r="S230" s="31" t="n">
        <v>0</v>
      </c>
      <c r="T230" s="27" t="s">
        <v>364</v>
      </c>
    </row>
    <row r="231" customFormat="false" ht="15" hidden="false" customHeight="false" outlineLevel="0" collapsed="false">
      <c r="A231" s="31" t="n">
        <v>2025</v>
      </c>
      <c r="B231" s="31" t="n">
        <v>22</v>
      </c>
      <c r="C231" s="27" t="s">
        <v>158</v>
      </c>
      <c r="D231" s="27" t="s">
        <v>363</v>
      </c>
      <c r="E231" s="31" t="n">
        <v>338</v>
      </c>
      <c r="F231" s="31" t="n">
        <v>77.69</v>
      </c>
      <c r="G231" s="31" t="n">
        <v>54.8</v>
      </c>
      <c r="H231" s="31" t="n">
        <v>125</v>
      </c>
      <c r="I231" s="31" t="n">
        <v>30.42</v>
      </c>
      <c r="J231" s="31" t="n">
        <v>28.08</v>
      </c>
      <c r="K231" s="31"/>
      <c r="L231" s="31" t="n">
        <v>22</v>
      </c>
      <c r="M231" s="31"/>
      <c r="N231" s="31"/>
      <c r="O231" s="31"/>
      <c r="P231" s="31" t="n">
        <v>1</v>
      </c>
      <c r="Q231" s="12" t="n">
        <f aca="false">IF(P231=1,SUM(F231:M231)+N231,"")</f>
        <v>337.99</v>
      </c>
      <c r="R231" s="38" t="n">
        <f aca="false">IF(AND(P231=1,ISNUMBER(E231)),Q231-E231,"")</f>
        <v>-0.00999999999999091</v>
      </c>
      <c r="S231" s="31" t="n">
        <v>0</v>
      </c>
      <c r="T231" s="27" t="s">
        <v>364</v>
      </c>
    </row>
    <row r="232" customFormat="false" ht="15" hidden="false" customHeight="false" outlineLevel="0" collapsed="false">
      <c r="A232" s="31" t="n">
        <v>2025</v>
      </c>
      <c r="B232" s="31" t="n">
        <v>23</v>
      </c>
      <c r="C232" s="27" t="s">
        <v>188</v>
      </c>
      <c r="D232" s="27" t="s">
        <v>363</v>
      </c>
      <c r="E232" s="31" t="n">
        <v>313.8</v>
      </c>
      <c r="F232" s="31" t="n">
        <v>74.28</v>
      </c>
      <c r="G232" s="31" t="n">
        <v>16.1</v>
      </c>
      <c r="H232" s="31" t="n">
        <v>85</v>
      </c>
      <c r="I232" s="31" t="n">
        <v>44.4</v>
      </c>
      <c r="J232" s="31" t="n">
        <v>32.75</v>
      </c>
      <c r="K232" s="31" t="n">
        <v>59.19</v>
      </c>
      <c r="L232" s="31" t="n">
        <v>2</v>
      </c>
      <c r="M232" s="31"/>
      <c r="N232" s="31"/>
      <c r="O232" s="31"/>
      <c r="P232" s="31" t="n">
        <v>1</v>
      </c>
      <c r="Q232" s="12" t="n">
        <f aca="false">IF(P232=1,SUM(F232:M232)+N232,"")</f>
        <v>313.72</v>
      </c>
      <c r="R232" s="38" t="n">
        <f aca="false">IF(AND(P232=1,ISNUMBER(E232)),Q232-E232,"")</f>
        <v>-0.0799999999999841</v>
      </c>
      <c r="S232" s="31" t="n">
        <v>0</v>
      </c>
      <c r="T232" s="27" t="s">
        <v>364</v>
      </c>
    </row>
    <row r="233" customFormat="false" ht="15" hidden="false" customHeight="false" outlineLevel="0" collapsed="false">
      <c r="A233" s="31" t="n">
        <v>2025</v>
      </c>
      <c r="B233" s="31" t="n">
        <v>24</v>
      </c>
      <c r="C233" s="27" t="s">
        <v>207</v>
      </c>
      <c r="D233" s="27" t="s">
        <v>363</v>
      </c>
      <c r="E233" s="31" t="n">
        <v>303.4</v>
      </c>
      <c r="F233" s="31" t="n">
        <v>74.13</v>
      </c>
      <c r="G233" s="31" t="n">
        <v>20</v>
      </c>
      <c r="H233" s="31" t="n">
        <v>65</v>
      </c>
      <c r="I233" s="31" t="n">
        <v>4.5</v>
      </c>
      <c r="J233" s="31" t="n">
        <v>19.54</v>
      </c>
      <c r="K233" s="31" t="n">
        <v>59.73</v>
      </c>
      <c r="L233" s="31" t="n">
        <v>60.5</v>
      </c>
      <c r="M233" s="31"/>
      <c r="N233" s="31"/>
      <c r="O233" s="31"/>
      <c r="P233" s="31" t="n">
        <v>1</v>
      </c>
      <c r="Q233" s="12" t="n">
        <f aca="false">IF(P233=1,SUM(F233:M233)+N233,"")</f>
        <v>325.4</v>
      </c>
      <c r="R233" s="38" t="n">
        <f aca="false">IF(AND(P233=1,ISNUMBER(E233)),Q233-E233,"")</f>
        <v>22</v>
      </c>
      <c r="S233" s="31" t="n">
        <v>0</v>
      </c>
      <c r="T233" s="27" t="s">
        <v>364</v>
      </c>
    </row>
    <row r="234" customFormat="false" ht="15" hidden="false" customHeight="false" outlineLevel="0" collapsed="false">
      <c r="A234" s="31" t="n">
        <v>2025</v>
      </c>
      <c r="B234" s="31" t="n">
        <v>25</v>
      </c>
      <c r="C234" s="27" t="s">
        <v>193</v>
      </c>
      <c r="D234" s="27" t="s">
        <v>363</v>
      </c>
      <c r="E234" s="31" t="n">
        <v>298.6</v>
      </c>
      <c r="F234" s="31" t="n">
        <v>73.62</v>
      </c>
      <c r="G234" s="31" t="n">
        <v>40.4</v>
      </c>
      <c r="H234" s="31" t="n">
        <v>105</v>
      </c>
      <c r="I234" s="31"/>
      <c r="J234" s="31"/>
      <c r="K234" s="31"/>
      <c r="L234" s="31" t="n">
        <v>24</v>
      </c>
      <c r="M234" s="31" t="n">
        <v>55.6</v>
      </c>
      <c r="N234" s="31"/>
      <c r="O234" s="31"/>
      <c r="P234" s="31" t="n">
        <v>1</v>
      </c>
      <c r="Q234" s="12" t="n">
        <f aca="false">IF(P234=1,SUM(F234:M234)+N234,"")</f>
        <v>298.62</v>
      </c>
      <c r="R234" s="38" t="n">
        <f aca="false">IF(AND(P234=1,ISNUMBER(E234)),Q234-E234,"")</f>
        <v>0.0199999999999818</v>
      </c>
      <c r="S234" s="31" t="n">
        <v>0</v>
      </c>
      <c r="T234" s="27" t="s">
        <v>364</v>
      </c>
    </row>
    <row r="235" customFormat="false" ht="15" hidden="false" customHeight="false" outlineLevel="0" collapsed="false">
      <c r="A235" s="31" t="n">
        <v>2025</v>
      </c>
      <c r="B235" s="31" t="n">
        <v>26</v>
      </c>
      <c r="C235" s="27" t="s">
        <v>166</v>
      </c>
      <c r="D235" s="27" t="s">
        <v>363</v>
      </c>
      <c r="E235" s="31" t="n">
        <v>284.7</v>
      </c>
      <c r="F235" s="31" t="n">
        <v>90.44</v>
      </c>
      <c r="G235" s="31" t="n">
        <v>74.3</v>
      </c>
      <c r="H235" s="31" t="n">
        <v>120</v>
      </c>
      <c r="I235" s="31"/>
      <c r="J235" s="31"/>
      <c r="K235" s="31"/>
      <c r="L235" s="31"/>
      <c r="M235" s="31"/>
      <c r="N235" s="31"/>
      <c r="O235" s="31"/>
      <c r="P235" s="31" t="n">
        <v>1</v>
      </c>
      <c r="Q235" s="12" t="n">
        <f aca="false">IF(P235=1,SUM(F235:M235)+N235,"")</f>
        <v>284.74</v>
      </c>
      <c r="R235" s="38" t="n">
        <f aca="false">IF(AND(P235=1,ISNUMBER(E235)),Q235-E235,"")</f>
        <v>0.0400000000000205</v>
      </c>
      <c r="S235" s="31" t="n">
        <v>0</v>
      </c>
      <c r="T235" s="27" t="s">
        <v>364</v>
      </c>
    </row>
    <row r="236" customFormat="false" ht="15" hidden="false" customHeight="false" outlineLevel="0" collapsed="false">
      <c r="A236" s="31" t="n">
        <v>2025</v>
      </c>
      <c r="B236" s="31" t="n">
        <v>27</v>
      </c>
      <c r="C236" s="27" t="s">
        <v>210</v>
      </c>
      <c r="D236" s="27" t="s">
        <v>363</v>
      </c>
      <c r="E236" s="31" t="n">
        <v>257.6</v>
      </c>
      <c r="F236" s="31" t="n">
        <v>66.38</v>
      </c>
      <c r="G236" s="31" t="n">
        <v>66</v>
      </c>
      <c r="H236" s="31" t="n">
        <v>95</v>
      </c>
      <c r="I236" s="31" t="n">
        <v>6.26</v>
      </c>
      <c r="J236" s="31" t="n">
        <v>3.5</v>
      </c>
      <c r="K236" s="31" t="n">
        <v>6.5</v>
      </c>
      <c r="L236" s="31" t="n">
        <v>14</v>
      </c>
      <c r="M236" s="31"/>
      <c r="N236" s="31"/>
      <c r="O236" s="31"/>
      <c r="P236" s="31" t="n">
        <v>1</v>
      </c>
      <c r="Q236" s="12" t="n">
        <f aca="false">IF(P236=1,SUM(F236:M236)+N236,"")</f>
        <v>257.64</v>
      </c>
      <c r="R236" s="38" t="n">
        <f aca="false">IF(AND(P236=1,ISNUMBER(E236)),Q236-E236,"")</f>
        <v>0.0399999999999636</v>
      </c>
      <c r="S236" s="31" t="n">
        <v>0</v>
      </c>
      <c r="T236" s="27" t="s">
        <v>364</v>
      </c>
    </row>
    <row r="237" customFormat="false" ht="15" hidden="false" customHeight="false" outlineLevel="0" collapsed="false">
      <c r="A237" s="31" t="n">
        <v>2025</v>
      </c>
      <c r="B237" s="31" t="n">
        <v>28</v>
      </c>
      <c r="C237" s="27" t="s">
        <v>183</v>
      </c>
      <c r="D237" s="27" t="s">
        <v>363</v>
      </c>
      <c r="E237" s="31" t="n">
        <v>252.4</v>
      </c>
      <c r="F237" s="31" t="n">
        <v>47</v>
      </c>
      <c r="G237" s="31" t="n">
        <v>32.2</v>
      </c>
      <c r="H237" s="31" t="n">
        <v>70</v>
      </c>
      <c r="I237" s="31" t="n">
        <v>4.5</v>
      </c>
      <c r="J237" s="31" t="n">
        <v>43.51</v>
      </c>
      <c r="K237" s="31" t="n">
        <v>50.15</v>
      </c>
      <c r="L237" s="31" t="n">
        <v>25</v>
      </c>
      <c r="M237" s="31"/>
      <c r="N237" s="31" t="n">
        <v>-20</v>
      </c>
      <c r="O237" s="31"/>
      <c r="P237" s="31" t="n">
        <v>1</v>
      </c>
      <c r="Q237" s="12" t="n">
        <f aca="false">IF(P237=1,SUM(F237:M237)+N237,"")</f>
        <v>252.36</v>
      </c>
      <c r="R237" s="38" t="n">
        <f aca="false">IF(AND(P237=1,ISNUMBER(E237)),Q237-E237,"")</f>
        <v>-0.039999999999992</v>
      </c>
      <c r="S237" s="31" t="n">
        <v>0</v>
      </c>
      <c r="T237" s="27" t="s">
        <v>364</v>
      </c>
    </row>
    <row r="238" customFormat="false" ht="15" hidden="false" customHeight="false" outlineLevel="0" collapsed="false">
      <c r="A238" s="31" t="n">
        <v>2025</v>
      </c>
      <c r="B238" s="31" t="n">
        <v>29</v>
      </c>
      <c r="C238" s="27" t="s">
        <v>161</v>
      </c>
      <c r="D238" s="27" t="s">
        <v>363</v>
      </c>
      <c r="E238" s="31" t="n">
        <v>252.2</v>
      </c>
      <c r="F238" s="31" t="n">
        <v>68.9</v>
      </c>
      <c r="G238" s="31" t="n">
        <v>68.3</v>
      </c>
      <c r="H238" s="31" t="n">
        <v>115</v>
      </c>
      <c r="I238" s="31"/>
      <c r="J238" s="31"/>
      <c r="K238" s="31"/>
      <c r="L238" s="31"/>
      <c r="M238" s="31"/>
      <c r="N238" s="31"/>
      <c r="O238" s="31"/>
      <c r="P238" s="31" t="n">
        <v>1</v>
      </c>
      <c r="Q238" s="12" t="n">
        <f aca="false">IF(P238=1,SUM(F238:M238)+N238,"")</f>
        <v>252.2</v>
      </c>
      <c r="R238" s="38" t="n">
        <f aca="false">IF(AND(P238=1,ISNUMBER(E238)),Q238-E238,"")</f>
        <v>0</v>
      </c>
      <c r="S238" s="31" t="n">
        <v>0</v>
      </c>
      <c r="T238" s="27" t="s">
        <v>364</v>
      </c>
    </row>
    <row r="239" customFormat="false" ht="15" hidden="false" customHeight="false" outlineLevel="0" collapsed="false">
      <c r="A239" s="31" t="n">
        <v>2025</v>
      </c>
      <c r="B239" s="31" t="n">
        <v>30</v>
      </c>
      <c r="C239" s="27" t="s">
        <v>332</v>
      </c>
      <c r="D239" s="27" t="s">
        <v>363</v>
      </c>
      <c r="E239" s="31" t="n">
        <v>235.3</v>
      </c>
      <c r="F239" s="31" t="n">
        <v>67.38</v>
      </c>
      <c r="G239" s="31" t="n">
        <v>67.9</v>
      </c>
      <c r="H239" s="31" t="n">
        <v>100</v>
      </c>
      <c r="I239" s="31"/>
      <c r="J239" s="31"/>
      <c r="K239" s="31"/>
      <c r="L239" s="31"/>
      <c r="M239" s="31"/>
      <c r="N239" s="31"/>
      <c r="O239" s="31"/>
      <c r="P239" s="31" t="n">
        <v>1</v>
      </c>
      <c r="Q239" s="12" t="n">
        <f aca="false">IF(P239=1,SUM(F239:M239)+N239,"")</f>
        <v>235.28</v>
      </c>
      <c r="R239" s="38" t="n">
        <f aca="false">IF(AND(P239=1,ISNUMBER(E239)),Q239-E239,"")</f>
        <v>-0.0200000000000102</v>
      </c>
      <c r="S239" s="31" t="n">
        <v>0</v>
      </c>
      <c r="T239" s="27" t="s">
        <v>364</v>
      </c>
    </row>
    <row r="240" customFormat="false" ht="15" hidden="false" customHeight="false" outlineLevel="0" collapsed="false">
      <c r="A240" s="31" t="n">
        <v>2025</v>
      </c>
      <c r="B240" s="31" t="n">
        <v>31</v>
      </c>
      <c r="C240" s="27" t="s">
        <v>199</v>
      </c>
      <c r="D240" s="27" t="s">
        <v>363</v>
      </c>
      <c r="E240" s="31" t="n">
        <v>227.3</v>
      </c>
      <c r="F240" s="31" t="n">
        <v>70.82</v>
      </c>
      <c r="G240" s="31" t="n">
        <v>56.5</v>
      </c>
      <c r="H240" s="31" t="n">
        <v>100</v>
      </c>
      <c r="I240" s="31"/>
      <c r="J240" s="31"/>
      <c r="K240" s="31"/>
      <c r="L240" s="31"/>
      <c r="M240" s="31"/>
      <c r="N240" s="31"/>
      <c r="O240" s="31"/>
      <c r="P240" s="31" t="n">
        <v>1</v>
      </c>
      <c r="Q240" s="12" t="n">
        <f aca="false">IF(P240=1,SUM(F240:M240)+N240,"")</f>
        <v>227.32</v>
      </c>
      <c r="R240" s="38" t="n">
        <f aca="false">IF(AND(P240=1,ISNUMBER(E240)),Q240-E240,"")</f>
        <v>0.0199999999999818</v>
      </c>
      <c r="S240" s="31" t="n">
        <v>0</v>
      </c>
      <c r="T240" s="27" t="s">
        <v>364</v>
      </c>
    </row>
    <row r="241" customFormat="false" ht="15" hidden="false" customHeight="false" outlineLevel="0" collapsed="false">
      <c r="A241" s="31" t="n">
        <v>2025</v>
      </c>
      <c r="B241" s="31" t="n">
        <v>32</v>
      </c>
      <c r="C241" s="27" t="s">
        <v>169</v>
      </c>
      <c r="D241" s="27" t="s">
        <v>363</v>
      </c>
      <c r="E241" s="31" t="n">
        <v>218.7</v>
      </c>
      <c r="F241" s="31" t="n">
        <v>87.7</v>
      </c>
      <c r="G241" s="31" t="n">
        <v>16</v>
      </c>
      <c r="H241" s="31" t="n">
        <v>115</v>
      </c>
      <c r="I241" s="31"/>
      <c r="J241" s="31"/>
      <c r="K241" s="31"/>
      <c r="L241" s="31"/>
      <c r="M241" s="31"/>
      <c r="N241" s="31"/>
      <c r="O241" s="31"/>
      <c r="P241" s="31" t="n">
        <v>1</v>
      </c>
      <c r="Q241" s="12" t="n">
        <f aca="false">IF(P241=1,SUM(F241:M241)+N241,"")</f>
        <v>218.7</v>
      </c>
      <c r="R241" s="38" t="n">
        <f aca="false">IF(AND(P241=1,ISNUMBER(E241)),Q241-E241,"")</f>
        <v>0</v>
      </c>
      <c r="S241" s="31" t="n">
        <v>0</v>
      </c>
      <c r="T241" s="27" t="s">
        <v>364</v>
      </c>
    </row>
    <row r="242" customFormat="false" ht="15" hidden="false" customHeight="false" outlineLevel="0" collapsed="false">
      <c r="A242" s="31" t="n">
        <v>2025</v>
      </c>
      <c r="B242" s="31" t="n">
        <v>33</v>
      </c>
      <c r="C242" s="27" t="s">
        <v>208</v>
      </c>
      <c r="D242" s="27" t="s">
        <v>363</v>
      </c>
      <c r="E242" s="31" t="n">
        <v>211.5</v>
      </c>
      <c r="F242" s="31" t="n">
        <v>81.24</v>
      </c>
      <c r="G242" s="31" t="n">
        <v>40.3</v>
      </c>
      <c r="H242" s="31" t="n">
        <v>90</v>
      </c>
      <c r="I242" s="31"/>
      <c r="J242" s="31"/>
      <c r="K242" s="31"/>
      <c r="L242" s="31"/>
      <c r="M242" s="31"/>
      <c r="N242" s="31"/>
      <c r="O242" s="31"/>
      <c r="P242" s="31" t="n">
        <v>1</v>
      </c>
      <c r="Q242" s="12" t="n">
        <f aca="false">IF(P242=1,SUM(F242:M242)+N242,"")</f>
        <v>211.54</v>
      </c>
      <c r="R242" s="38" t="n">
        <f aca="false">IF(AND(P242=1,ISNUMBER(E242)),Q242-E242,"")</f>
        <v>0.039999999999992</v>
      </c>
      <c r="S242" s="31" t="n">
        <v>0</v>
      </c>
      <c r="T242" s="27" t="s">
        <v>364</v>
      </c>
    </row>
    <row r="243" customFormat="false" ht="15" hidden="false" customHeight="false" outlineLevel="0" collapsed="false">
      <c r="A243" s="31" t="n">
        <v>2025</v>
      </c>
      <c r="B243" s="31" t="n">
        <v>34</v>
      </c>
      <c r="C243" s="27" t="s">
        <v>205</v>
      </c>
      <c r="D243" s="27" t="s">
        <v>363</v>
      </c>
      <c r="E243" s="31" t="n">
        <v>210.2</v>
      </c>
      <c r="F243" s="31" t="n">
        <v>70.71</v>
      </c>
      <c r="G243" s="31" t="n">
        <v>64.5</v>
      </c>
      <c r="H243" s="31" t="n">
        <v>75</v>
      </c>
      <c r="I243" s="31"/>
      <c r="J243" s="31"/>
      <c r="K243" s="31"/>
      <c r="L243" s="31"/>
      <c r="M243" s="31"/>
      <c r="N243" s="31"/>
      <c r="O243" s="31"/>
      <c r="P243" s="31" t="n">
        <v>1</v>
      </c>
      <c r="Q243" s="12" t="n">
        <f aca="false">IF(P243=1,SUM(F243:M243)+N243,"")</f>
        <v>210.21</v>
      </c>
      <c r="R243" s="38" t="n">
        <f aca="false">IF(AND(P243=1,ISNUMBER(E243)),Q243-E243,"")</f>
        <v>0.00999999999999091</v>
      </c>
      <c r="S243" s="31" t="n">
        <v>0</v>
      </c>
      <c r="T243" s="27" t="s">
        <v>364</v>
      </c>
    </row>
    <row r="244" customFormat="false" ht="15" hidden="false" customHeight="false" outlineLevel="0" collapsed="false">
      <c r="A244" s="31" t="n">
        <v>2025</v>
      </c>
      <c r="B244" s="31" t="n">
        <v>35</v>
      </c>
      <c r="C244" s="27" t="s">
        <v>191</v>
      </c>
      <c r="D244" s="27" t="s">
        <v>363</v>
      </c>
      <c r="E244" s="31" t="n">
        <v>205.8</v>
      </c>
      <c r="F244" s="31" t="n">
        <v>84.1</v>
      </c>
      <c r="G244" s="31" t="n">
        <v>46.7</v>
      </c>
      <c r="H244" s="31" t="n">
        <v>95</v>
      </c>
      <c r="I244" s="31"/>
      <c r="J244" s="31"/>
      <c r="K244" s="31"/>
      <c r="L244" s="31"/>
      <c r="M244" s="31"/>
      <c r="N244" s="31" t="n">
        <v>-20</v>
      </c>
      <c r="O244" s="31"/>
      <c r="P244" s="31" t="n">
        <v>1</v>
      </c>
      <c r="Q244" s="12" t="n">
        <f aca="false">IF(P244=1,SUM(F244:M244)+N244,"")</f>
        <v>205.8</v>
      </c>
      <c r="R244" s="38" t="n">
        <f aca="false">IF(AND(P244=1,ISNUMBER(E244)),Q244-E244,"")</f>
        <v>0</v>
      </c>
      <c r="S244" s="31" t="n">
        <v>0</v>
      </c>
      <c r="T244" s="27" t="s">
        <v>364</v>
      </c>
    </row>
    <row r="245" customFormat="false" ht="15" hidden="false" customHeight="false" outlineLevel="0" collapsed="false">
      <c r="A245" s="31" t="n">
        <v>2025</v>
      </c>
      <c r="B245" s="31" t="n">
        <v>36</v>
      </c>
      <c r="C245" s="27" t="s">
        <v>223</v>
      </c>
      <c r="D245" s="27" t="s">
        <v>363</v>
      </c>
      <c r="E245" s="31" t="n">
        <v>204.9</v>
      </c>
      <c r="F245" s="31" t="n">
        <v>68.3</v>
      </c>
      <c r="G245" s="31" t="n">
        <v>51.6</v>
      </c>
      <c r="H245" s="31" t="n">
        <v>85</v>
      </c>
      <c r="I245" s="31"/>
      <c r="J245" s="31"/>
      <c r="K245" s="31"/>
      <c r="L245" s="31"/>
      <c r="M245" s="31"/>
      <c r="N245" s="31"/>
      <c r="O245" s="31"/>
      <c r="P245" s="31" t="n">
        <v>1</v>
      </c>
      <c r="Q245" s="12" t="n">
        <f aca="false">IF(P245=1,SUM(F245:M245)+N245,"")</f>
        <v>204.9</v>
      </c>
      <c r="R245" s="38" t="n">
        <f aca="false">IF(AND(P245=1,ISNUMBER(E245)),Q245-E245,"")</f>
        <v>0</v>
      </c>
      <c r="S245" s="31" t="n">
        <v>0</v>
      </c>
      <c r="T245" s="27" t="s">
        <v>364</v>
      </c>
    </row>
    <row r="246" customFormat="false" ht="15" hidden="false" customHeight="false" outlineLevel="0" collapsed="false">
      <c r="A246" s="31" t="n">
        <v>2025</v>
      </c>
      <c r="B246" s="31" t="n">
        <v>37</v>
      </c>
      <c r="C246" s="27" t="s">
        <v>245</v>
      </c>
      <c r="D246" s="27" t="s">
        <v>363</v>
      </c>
      <c r="E246" s="31" t="n">
        <v>202</v>
      </c>
      <c r="F246" s="31" t="n">
        <v>65.84</v>
      </c>
      <c r="G246" s="31" t="n">
        <v>71.2</v>
      </c>
      <c r="H246" s="31" t="n">
        <v>65</v>
      </c>
      <c r="I246" s="31"/>
      <c r="J246" s="31"/>
      <c r="K246" s="31"/>
      <c r="L246" s="31"/>
      <c r="M246" s="31"/>
      <c r="N246" s="31"/>
      <c r="O246" s="31"/>
      <c r="P246" s="31" t="n">
        <v>1</v>
      </c>
      <c r="Q246" s="12" t="n">
        <f aca="false">IF(P246=1,SUM(F246:M246)+N246,"")</f>
        <v>202.04</v>
      </c>
      <c r="R246" s="38" t="n">
        <f aca="false">IF(AND(P246=1,ISNUMBER(E246)),Q246-E246,"")</f>
        <v>0.0400000000000205</v>
      </c>
      <c r="S246" s="31" t="n">
        <v>0</v>
      </c>
      <c r="T246" s="27" t="s">
        <v>364</v>
      </c>
    </row>
    <row r="247" customFormat="false" ht="15" hidden="false" customHeight="false" outlineLevel="0" collapsed="false">
      <c r="A247" s="31" t="n">
        <v>2025</v>
      </c>
      <c r="B247" s="31" t="n">
        <v>38</v>
      </c>
      <c r="C247" s="27" t="s">
        <v>189</v>
      </c>
      <c r="D247" s="27" t="s">
        <v>363</v>
      </c>
      <c r="E247" s="31" t="n">
        <v>200.1</v>
      </c>
      <c r="F247" s="31" t="n">
        <v>72.91</v>
      </c>
      <c r="G247" s="31" t="n">
        <v>62.2</v>
      </c>
      <c r="H247" s="31" t="n">
        <v>85</v>
      </c>
      <c r="I247" s="31"/>
      <c r="J247" s="31"/>
      <c r="K247" s="31"/>
      <c r="L247" s="31"/>
      <c r="M247" s="31"/>
      <c r="N247" s="31" t="n">
        <v>-20</v>
      </c>
      <c r="O247" s="31"/>
      <c r="P247" s="31" t="n">
        <v>1</v>
      </c>
      <c r="Q247" s="12" t="n">
        <f aca="false">IF(P247=1,SUM(F247:M247)+N247,"")</f>
        <v>200.11</v>
      </c>
      <c r="R247" s="38" t="n">
        <f aca="false">IF(AND(P247=1,ISNUMBER(E247)),Q247-E247,"")</f>
        <v>0.0100000000000193</v>
      </c>
      <c r="S247" s="31" t="n">
        <v>0</v>
      </c>
      <c r="T247" s="27" t="s">
        <v>364</v>
      </c>
    </row>
    <row r="248" customFormat="false" ht="15" hidden="false" customHeight="false" outlineLevel="0" collapsed="false">
      <c r="A248" s="31" t="n">
        <v>2025</v>
      </c>
      <c r="B248" s="31" t="n">
        <v>39</v>
      </c>
      <c r="C248" s="27" t="s">
        <v>190</v>
      </c>
      <c r="D248" s="27" t="s">
        <v>363</v>
      </c>
      <c r="E248" s="31" t="n">
        <v>198.7</v>
      </c>
      <c r="F248" s="31" t="n">
        <v>39.68</v>
      </c>
      <c r="G248" s="31" t="n">
        <v>36.7</v>
      </c>
      <c r="H248" s="31" t="n">
        <v>65</v>
      </c>
      <c r="I248" s="31" t="n">
        <v>48.21</v>
      </c>
      <c r="J248" s="31" t="n">
        <v>7.16</v>
      </c>
      <c r="K248" s="31"/>
      <c r="L248" s="31" t="n">
        <v>2</v>
      </c>
      <c r="M248" s="31"/>
      <c r="N248" s="31"/>
      <c r="O248" s="31"/>
      <c r="P248" s="31" t="n">
        <v>1</v>
      </c>
      <c r="Q248" s="12" t="n">
        <f aca="false">IF(P248=1,SUM(F248:M248)+N248,"")</f>
        <v>199.75</v>
      </c>
      <c r="R248" s="38" t="n">
        <f aca="false">IF(AND(P248=1,ISNUMBER(E248)),Q248-E248,"")</f>
        <v>1.05000000000001</v>
      </c>
      <c r="S248" s="31" t="n">
        <v>0</v>
      </c>
      <c r="T248" s="27" t="s">
        <v>364</v>
      </c>
    </row>
    <row r="249" customFormat="false" ht="15" hidden="false" customHeight="false" outlineLevel="0" collapsed="false">
      <c r="A249" s="31" t="n">
        <v>2025</v>
      </c>
      <c r="B249" s="31" t="n">
        <v>40</v>
      </c>
      <c r="C249" s="27" t="s">
        <v>202</v>
      </c>
      <c r="D249" s="27" t="s">
        <v>363</v>
      </c>
      <c r="E249" s="31" t="n">
        <v>195.1</v>
      </c>
      <c r="F249" s="31" t="n">
        <v>73.34</v>
      </c>
      <c r="G249" s="31" t="n">
        <v>48.8</v>
      </c>
      <c r="H249" s="31" t="n">
        <v>80</v>
      </c>
      <c r="I249" s="31"/>
      <c r="J249" s="31" t="n">
        <v>3.5</v>
      </c>
      <c r="K249" s="31" t="n">
        <v>6.5</v>
      </c>
      <c r="L249" s="31" t="n">
        <v>3</v>
      </c>
      <c r="M249" s="31"/>
      <c r="N249" s="31" t="n">
        <v>-20</v>
      </c>
      <c r="O249" s="31"/>
      <c r="P249" s="31" t="n">
        <v>1</v>
      </c>
      <c r="Q249" s="12" t="n">
        <f aca="false">IF(P249=1,SUM(F249:M249)+N249,"")</f>
        <v>195.14</v>
      </c>
      <c r="R249" s="38" t="n">
        <f aca="false">IF(AND(P249=1,ISNUMBER(E249)),Q249-E249,"")</f>
        <v>0.039999999999992</v>
      </c>
      <c r="S249" s="31" t="n">
        <v>0</v>
      </c>
      <c r="T249" s="27" t="s">
        <v>364</v>
      </c>
    </row>
    <row r="250" customFormat="false" ht="15" hidden="false" customHeight="false" outlineLevel="0" collapsed="false">
      <c r="A250" s="31" t="n">
        <v>2025</v>
      </c>
      <c r="B250" s="31" t="n">
        <v>41</v>
      </c>
      <c r="C250" s="27" t="s">
        <v>186</v>
      </c>
      <c r="D250" s="27" t="s">
        <v>363</v>
      </c>
      <c r="E250" s="31" t="n">
        <v>194.4</v>
      </c>
      <c r="F250" s="31" t="n">
        <v>70.82</v>
      </c>
      <c r="G250" s="31" t="n">
        <v>48.6</v>
      </c>
      <c r="H250" s="31" t="n">
        <v>95</v>
      </c>
      <c r="I250" s="31"/>
      <c r="J250" s="31"/>
      <c r="K250" s="31"/>
      <c r="L250" s="31"/>
      <c r="M250" s="31"/>
      <c r="N250" s="31" t="n">
        <v>-20</v>
      </c>
      <c r="O250" s="31"/>
      <c r="P250" s="31" t="n">
        <v>1</v>
      </c>
      <c r="Q250" s="12" t="n">
        <f aca="false">IF(P250=1,SUM(F250:M250)+N250,"")</f>
        <v>194.42</v>
      </c>
      <c r="R250" s="38" t="n">
        <f aca="false">IF(AND(P250=1,ISNUMBER(E250)),Q250-E250,"")</f>
        <v>0.0199999999999818</v>
      </c>
      <c r="S250" s="31" t="n">
        <v>0</v>
      </c>
      <c r="T250" s="27" t="s">
        <v>364</v>
      </c>
    </row>
    <row r="251" customFormat="false" ht="15" hidden="false" customHeight="false" outlineLevel="0" collapsed="false">
      <c r="A251" s="31" t="n">
        <v>2025</v>
      </c>
      <c r="B251" s="31" t="n">
        <v>42</v>
      </c>
      <c r="C251" s="27" t="s">
        <v>213</v>
      </c>
      <c r="D251" s="27" t="s">
        <v>363</v>
      </c>
      <c r="E251" s="31" t="n">
        <v>193.3</v>
      </c>
      <c r="F251" s="31" t="n">
        <v>68.61</v>
      </c>
      <c r="G251" s="31" t="n">
        <v>18.4</v>
      </c>
      <c r="H251" s="31" t="n">
        <v>65</v>
      </c>
      <c r="I251" s="31"/>
      <c r="J251" s="31"/>
      <c r="K251" s="31" t="n">
        <v>16.3</v>
      </c>
      <c r="L251" s="31" t="n">
        <v>25</v>
      </c>
      <c r="M251" s="31"/>
      <c r="N251" s="31"/>
      <c r="O251" s="31"/>
      <c r="P251" s="31" t="n">
        <v>1</v>
      </c>
      <c r="Q251" s="12" t="n">
        <f aca="false">IF(P251=1,SUM(F251:M251)+N251,"")</f>
        <v>193.31</v>
      </c>
      <c r="R251" s="38" t="n">
        <f aca="false">IF(AND(P251=1,ISNUMBER(E251)),Q251-E251,"")</f>
        <v>0.00999999999999091</v>
      </c>
      <c r="S251" s="31" t="n">
        <v>0</v>
      </c>
      <c r="T251" s="27" t="s">
        <v>364</v>
      </c>
    </row>
    <row r="252" customFormat="false" ht="15" hidden="false" customHeight="false" outlineLevel="0" collapsed="false">
      <c r="A252" s="31" t="n">
        <v>2025</v>
      </c>
      <c r="B252" s="31" t="n">
        <v>43</v>
      </c>
      <c r="C252" s="27" t="s">
        <v>201</v>
      </c>
      <c r="D252" s="27" t="s">
        <v>363</v>
      </c>
      <c r="E252" s="31" t="n">
        <v>183.6</v>
      </c>
      <c r="F252" s="31" t="n">
        <v>73.3</v>
      </c>
      <c r="G252" s="31" t="n">
        <v>50.3</v>
      </c>
      <c r="H252" s="31" t="n">
        <v>60</v>
      </c>
      <c r="I252" s="31"/>
      <c r="J252" s="31"/>
      <c r="K252" s="31"/>
      <c r="L252" s="31"/>
      <c r="M252" s="31"/>
      <c r="N252" s="31"/>
      <c r="O252" s="31"/>
      <c r="P252" s="31" t="n">
        <v>1</v>
      </c>
      <c r="Q252" s="12" t="n">
        <f aca="false">IF(P252=1,SUM(F252:M252)+N252,"")</f>
        <v>183.6</v>
      </c>
      <c r="R252" s="38" t="n">
        <f aca="false">IF(AND(P252=1,ISNUMBER(E252)),Q252-E252,"")</f>
        <v>0</v>
      </c>
      <c r="S252" s="31" t="n">
        <v>0</v>
      </c>
      <c r="T252" s="27" t="s">
        <v>364</v>
      </c>
    </row>
    <row r="253" customFormat="false" ht="15" hidden="false" customHeight="false" outlineLevel="0" collapsed="false">
      <c r="A253" s="31" t="n">
        <v>2025</v>
      </c>
      <c r="B253" s="31" t="n">
        <v>44</v>
      </c>
      <c r="C253" s="27" t="s">
        <v>156</v>
      </c>
      <c r="D253" s="27" t="s">
        <v>363</v>
      </c>
      <c r="E253" s="31" t="n">
        <v>181.9</v>
      </c>
      <c r="F253" s="31" t="n">
        <v>82.6</v>
      </c>
      <c r="G253" s="31" t="n">
        <v>19.3</v>
      </c>
      <c r="H253" s="31" t="n">
        <v>100</v>
      </c>
      <c r="I253" s="31"/>
      <c r="J253" s="31"/>
      <c r="K253" s="31"/>
      <c r="L253" s="31"/>
      <c r="M253" s="31"/>
      <c r="N253" s="31" t="n">
        <v>-20</v>
      </c>
      <c r="O253" s="31"/>
      <c r="P253" s="31" t="n">
        <v>1</v>
      </c>
      <c r="Q253" s="12" t="n">
        <f aca="false">IF(P253=1,SUM(F253:M253)+N253,"")</f>
        <v>181.9</v>
      </c>
      <c r="R253" s="38" t="n">
        <f aca="false">IF(AND(P253=1,ISNUMBER(E253)),Q253-E253,"")</f>
        <v>0</v>
      </c>
      <c r="S253" s="31" t="n">
        <v>0</v>
      </c>
      <c r="T253" s="27" t="s">
        <v>364</v>
      </c>
    </row>
    <row r="254" customFormat="false" ht="15" hidden="false" customHeight="false" outlineLevel="0" collapsed="false">
      <c r="A254" s="31" t="n">
        <v>2025</v>
      </c>
      <c r="B254" s="31" t="n">
        <v>45</v>
      </c>
      <c r="C254" s="27" t="s">
        <v>157</v>
      </c>
      <c r="D254" s="27" t="s">
        <v>363</v>
      </c>
      <c r="E254" s="31" t="n">
        <v>179.4</v>
      </c>
      <c r="F254" s="31" t="n">
        <v>86.03</v>
      </c>
      <c r="G254" s="31" t="n">
        <v>18.4</v>
      </c>
      <c r="H254" s="31" t="n">
        <v>75</v>
      </c>
      <c r="I254" s="31"/>
      <c r="J254" s="31"/>
      <c r="K254" s="31"/>
      <c r="L254" s="31"/>
      <c r="M254" s="31"/>
      <c r="N254" s="31"/>
      <c r="O254" s="31"/>
      <c r="P254" s="31" t="n">
        <v>1</v>
      </c>
      <c r="Q254" s="12" t="n">
        <f aca="false">IF(P254=1,SUM(F254:M254)+N254,"")</f>
        <v>179.43</v>
      </c>
      <c r="R254" s="38" t="n">
        <f aca="false">IF(AND(P254=1,ISNUMBER(E254)),Q254-E254,"")</f>
        <v>0.0300000000000011</v>
      </c>
      <c r="S254" s="31" t="n">
        <v>0</v>
      </c>
      <c r="T254" s="27" t="s">
        <v>364</v>
      </c>
    </row>
    <row r="255" customFormat="false" ht="15" hidden="false" customHeight="false" outlineLevel="0" collapsed="false">
      <c r="A255" s="31" t="n">
        <v>2025</v>
      </c>
      <c r="B255" s="31" t="n">
        <v>46</v>
      </c>
      <c r="C255" s="27" t="s">
        <v>222</v>
      </c>
      <c r="D255" s="27" t="s">
        <v>363</v>
      </c>
      <c r="E255" s="31" t="n">
        <v>175.3</v>
      </c>
      <c r="F255" s="31" t="n">
        <v>60.28</v>
      </c>
      <c r="G255" s="31" t="n">
        <v>55</v>
      </c>
      <c r="H255" s="31" t="n">
        <v>60</v>
      </c>
      <c r="I255" s="31"/>
      <c r="J255" s="31"/>
      <c r="K255" s="31"/>
      <c r="L255" s="31"/>
      <c r="M255" s="31"/>
      <c r="N255" s="31"/>
      <c r="O255" s="31"/>
      <c r="P255" s="31" t="n">
        <v>1</v>
      </c>
      <c r="Q255" s="12" t="n">
        <f aca="false">IF(P255=1,SUM(F255:M255)+N255,"")</f>
        <v>177.28</v>
      </c>
      <c r="R255" s="38" t="n">
        <f aca="false">IF(AND(P255=1,ISNUMBER(E255)),Q255-E255,"")</f>
        <v>1.97999999999999</v>
      </c>
      <c r="S255" s="31" t="n">
        <v>0</v>
      </c>
      <c r="T255" s="27" t="s">
        <v>364</v>
      </c>
    </row>
    <row r="256" customFormat="false" ht="15" hidden="false" customHeight="false" outlineLevel="0" collapsed="false">
      <c r="A256" s="31" t="n">
        <v>2025</v>
      </c>
      <c r="B256" s="31" t="n">
        <v>47</v>
      </c>
      <c r="C256" s="27" t="s">
        <v>160</v>
      </c>
      <c r="D256" s="27" t="s">
        <v>363</v>
      </c>
      <c r="E256" s="31" t="n">
        <v>169.6</v>
      </c>
      <c r="F256" s="31" t="n">
        <v>44.94</v>
      </c>
      <c r="G256" s="31" t="n">
        <v>19.6</v>
      </c>
      <c r="H256" s="31" t="n">
        <v>105</v>
      </c>
      <c r="I256" s="31"/>
      <c r="J256" s="31"/>
      <c r="K256" s="31"/>
      <c r="L256" s="31"/>
      <c r="M256" s="31"/>
      <c r="N256" s="31"/>
      <c r="O256" s="31"/>
      <c r="P256" s="31" t="n">
        <v>1</v>
      </c>
      <c r="Q256" s="12" t="n">
        <f aca="false">IF(P256=1,SUM(F256:M256)+N256,"")</f>
        <v>169.54</v>
      </c>
      <c r="R256" s="38" t="n">
        <f aca="false">IF(AND(P256=1,ISNUMBER(E256)),Q256-E256,"")</f>
        <v>-0.0600000000000023</v>
      </c>
      <c r="S256" s="31" t="n">
        <v>0</v>
      </c>
      <c r="T256" s="27" t="s">
        <v>364</v>
      </c>
    </row>
    <row r="257" customFormat="false" ht="15" hidden="false" customHeight="false" outlineLevel="0" collapsed="false">
      <c r="A257" s="31" t="n">
        <v>2025</v>
      </c>
      <c r="B257" s="31" t="n">
        <v>48</v>
      </c>
      <c r="C257" s="27" t="s">
        <v>198</v>
      </c>
      <c r="D257" s="27" t="s">
        <v>363</v>
      </c>
      <c r="E257" s="31" t="n">
        <v>166.9</v>
      </c>
      <c r="F257" s="31" t="n">
        <v>74.48</v>
      </c>
      <c r="G257" s="31" t="n">
        <v>27.4</v>
      </c>
      <c r="H257" s="31" t="n">
        <v>65</v>
      </c>
      <c r="I257" s="31"/>
      <c r="J257" s="31"/>
      <c r="K257" s="31"/>
      <c r="L257" s="31"/>
      <c r="M257" s="31"/>
      <c r="N257" s="31"/>
      <c r="O257" s="31"/>
      <c r="P257" s="31" t="n">
        <v>1</v>
      </c>
      <c r="Q257" s="12" t="n">
        <f aca="false">IF(P257=1,SUM(F257:M257)+N257,"")</f>
        <v>166.88</v>
      </c>
      <c r="R257" s="38" t="n">
        <f aca="false">IF(AND(P257=1,ISNUMBER(E257)),Q257-E257,"")</f>
        <v>-0.0200000000000102</v>
      </c>
      <c r="S257" s="31" t="n">
        <v>0</v>
      </c>
      <c r="T257" s="27" t="s">
        <v>364</v>
      </c>
    </row>
    <row r="258" customFormat="false" ht="15" hidden="false" customHeight="false" outlineLevel="0" collapsed="false">
      <c r="A258" s="31" t="n">
        <v>2025</v>
      </c>
      <c r="B258" s="31" t="n">
        <v>49</v>
      </c>
      <c r="C258" s="27" t="s">
        <v>220</v>
      </c>
      <c r="D258" s="27" t="s">
        <v>363</v>
      </c>
      <c r="E258" s="31" t="n">
        <v>164.1</v>
      </c>
      <c r="F258" s="31" t="n">
        <v>54.52</v>
      </c>
      <c r="G258" s="31" t="n">
        <v>54.6</v>
      </c>
      <c r="H258" s="31" t="n">
        <v>55</v>
      </c>
      <c r="I258" s="31"/>
      <c r="J258" s="31"/>
      <c r="K258" s="31"/>
      <c r="L258" s="31"/>
      <c r="M258" s="31"/>
      <c r="N258" s="31"/>
      <c r="O258" s="31"/>
      <c r="P258" s="31" t="n">
        <v>1</v>
      </c>
      <c r="Q258" s="12" t="n">
        <f aca="false">IF(P258=1,SUM(F258:M258)+N258,"")</f>
        <v>164.12</v>
      </c>
      <c r="R258" s="38" t="n">
        <f aca="false">IF(AND(P258=1,ISNUMBER(E258)),Q258-E258,"")</f>
        <v>0.0200000000000102</v>
      </c>
      <c r="S258" s="31" t="n">
        <v>0</v>
      </c>
      <c r="T258" s="27" t="s">
        <v>364</v>
      </c>
    </row>
    <row r="259" customFormat="false" ht="15" hidden="false" customHeight="false" outlineLevel="0" collapsed="false">
      <c r="A259" s="31" t="n">
        <v>2025</v>
      </c>
      <c r="B259" s="31" t="n">
        <v>50</v>
      </c>
      <c r="C259" s="27" t="s">
        <v>187</v>
      </c>
      <c r="D259" s="27" t="s">
        <v>363</v>
      </c>
      <c r="E259" s="31" t="n">
        <v>161.2</v>
      </c>
      <c r="F259" s="31" t="n">
        <v>57.92</v>
      </c>
      <c r="G259" s="31" t="n">
        <v>43.3</v>
      </c>
      <c r="H259" s="31" t="n">
        <v>80</v>
      </c>
      <c r="I259" s="31"/>
      <c r="J259" s="31"/>
      <c r="K259" s="31"/>
      <c r="L259" s="31"/>
      <c r="M259" s="31"/>
      <c r="N259" s="31" t="n">
        <v>-20</v>
      </c>
      <c r="O259" s="31"/>
      <c r="P259" s="31" t="n">
        <v>1</v>
      </c>
      <c r="Q259" s="12" t="n">
        <f aca="false">IF(P259=1,SUM(F259:M259)+N259,"")</f>
        <v>163.22</v>
      </c>
      <c r="R259" s="38" t="n">
        <f aca="false">IF(AND(P259=1,ISNUMBER(E259)),Q259-E259,"")</f>
        <v>2.02000000000001</v>
      </c>
      <c r="S259" s="31" t="n">
        <v>0</v>
      </c>
      <c r="T259" s="27" t="s">
        <v>364</v>
      </c>
    </row>
    <row r="260" customFormat="false" ht="15" hidden="false" customHeight="false" outlineLevel="0" collapsed="false">
      <c r="A260" s="31" t="n">
        <v>2025</v>
      </c>
      <c r="B260" s="31" t="n">
        <v>51</v>
      </c>
      <c r="C260" s="27" t="s">
        <v>159</v>
      </c>
      <c r="D260" s="27" t="s">
        <v>363</v>
      </c>
      <c r="E260" s="31" t="n">
        <v>159.3</v>
      </c>
      <c r="F260" s="31" t="n">
        <v>71.7</v>
      </c>
      <c r="G260" s="31" t="n">
        <v>27.6</v>
      </c>
      <c r="H260" s="31" t="n">
        <v>60</v>
      </c>
      <c r="I260" s="31"/>
      <c r="J260" s="31"/>
      <c r="K260" s="31"/>
      <c r="L260" s="31"/>
      <c r="M260" s="31"/>
      <c r="N260" s="31"/>
      <c r="O260" s="31"/>
      <c r="P260" s="31" t="n">
        <v>1</v>
      </c>
      <c r="Q260" s="12" t="n">
        <f aca="false">IF(P260=1,SUM(F260:M260)+N260,"")</f>
        <v>159.3</v>
      </c>
      <c r="R260" s="38" t="n">
        <f aca="false">IF(AND(P260=1,ISNUMBER(E260)),Q260-E260,"")</f>
        <v>0</v>
      </c>
      <c r="S260" s="31" t="n">
        <v>0</v>
      </c>
      <c r="T260" s="27" t="s">
        <v>364</v>
      </c>
    </row>
    <row r="261" customFormat="false" ht="15" hidden="false" customHeight="false" outlineLevel="0" collapsed="false">
      <c r="A261" s="31" t="n">
        <v>2025</v>
      </c>
      <c r="B261" s="31" t="n">
        <v>52</v>
      </c>
      <c r="C261" s="27" t="s">
        <v>182</v>
      </c>
      <c r="D261" s="27" t="s">
        <v>363</v>
      </c>
      <c r="E261" s="31" t="n">
        <v>154.4</v>
      </c>
      <c r="F261" s="31" t="n">
        <v>66.05</v>
      </c>
      <c r="G261" s="31" t="n">
        <v>18.4</v>
      </c>
      <c r="H261" s="31" t="n">
        <v>90</v>
      </c>
      <c r="I261" s="31"/>
      <c r="J261" s="31"/>
      <c r="K261" s="31"/>
      <c r="L261" s="31"/>
      <c r="M261" s="31"/>
      <c r="N261" s="31" t="n">
        <v>-20</v>
      </c>
      <c r="O261" s="31"/>
      <c r="P261" s="31" t="n">
        <v>1</v>
      </c>
      <c r="Q261" s="12" t="n">
        <f aca="false">IF(P261=1,SUM(F261:M261)+N261,"")</f>
        <v>154.45</v>
      </c>
      <c r="R261" s="38" t="n">
        <f aca="false">IF(AND(P261=1,ISNUMBER(E261)),Q261-E261,"")</f>
        <v>0.049999999999983</v>
      </c>
      <c r="S261" s="31" t="n">
        <v>0</v>
      </c>
      <c r="T261" s="27" t="s">
        <v>364</v>
      </c>
    </row>
    <row r="262" customFormat="false" ht="15" hidden="false" customHeight="false" outlineLevel="0" collapsed="false">
      <c r="A262" s="31" t="n">
        <v>2025</v>
      </c>
      <c r="B262" s="31" t="n">
        <v>53</v>
      </c>
      <c r="C262" s="27" t="s">
        <v>197</v>
      </c>
      <c r="D262" s="27" t="s">
        <v>363</v>
      </c>
      <c r="E262" s="31" t="n">
        <v>145.9</v>
      </c>
      <c r="F262" s="31" t="n">
        <v>52.2</v>
      </c>
      <c r="G262" s="31" t="n">
        <v>43.7</v>
      </c>
      <c r="H262" s="31" t="n">
        <v>50</v>
      </c>
      <c r="I262" s="31"/>
      <c r="J262" s="31"/>
      <c r="K262" s="31"/>
      <c r="L262" s="31"/>
      <c r="M262" s="31"/>
      <c r="N262" s="31"/>
      <c r="O262" s="31"/>
      <c r="P262" s="31" t="n">
        <v>1</v>
      </c>
      <c r="Q262" s="12" t="n">
        <f aca="false">IF(P262=1,SUM(F262:M262)+N262,"")</f>
        <v>145.9</v>
      </c>
      <c r="R262" s="38" t="n">
        <f aca="false">IF(AND(P262=1,ISNUMBER(E262)),Q262-E262,"")</f>
        <v>0</v>
      </c>
      <c r="S262" s="31" t="n">
        <v>0</v>
      </c>
      <c r="T262" s="27" t="s">
        <v>364</v>
      </c>
    </row>
    <row r="263" customFormat="false" ht="15" hidden="false" customHeight="false" outlineLevel="0" collapsed="false">
      <c r="A263" s="31" t="n">
        <v>2025</v>
      </c>
      <c r="B263" s="31" t="n">
        <v>54</v>
      </c>
      <c r="C263" s="27" t="s">
        <v>219</v>
      </c>
      <c r="D263" s="27" t="s">
        <v>363</v>
      </c>
      <c r="E263" s="31" t="n">
        <v>145.6</v>
      </c>
      <c r="F263" s="31" t="n">
        <v>66.25</v>
      </c>
      <c r="G263" s="31" t="n">
        <v>19.4</v>
      </c>
      <c r="H263" s="31" t="n">
        <v>60</v>
      </c>
      <c r="I263" s="31"/>
      <c r="J263" s="31"/>
      <c r="K263" s="31"/>
      <c r="L263" s="31"/>
      <c r="M263" s="31"/>
      <c r="N263" s="31"/>
      <c r="O263" s="31"/>
      <c r="P263" s="31" t="n">
        <v>1</v>
      </c>
      <c r="Q263" s="12" t="n">
        <f aca="false">IF(P263=1,SUM(F263:M263)+N263,"")</f>
        <v>145.65</v>
      </c>
      <c r="R263" s="38" t="n">
        <f aca="false">IF(AND(P263=1,ISNUMBER(E263)),Q263-E263,"")</f>
        <v>0.0500000000000114</v>
      </c>
      <c r="S263" s="31" t="n">
        <v>0</v>
      </c>
      <c r="T263" s="27" t="s">
        <v>364</v>
      </c>
    </row>
    <row r="264" customFormat="false" ht="15" hidden="false" customHeight="false" outlineLevel="0" collapsed="false">
      <c r="A264" s="31" t="n">
        <v>2025</v>
      </c>
      <c r="B264" s="31" t="n">
        <v>55</v>
      </c>
      <c r="C264" s="27" t="s">
        <v>192</v>
      </c>
      <c r="D264" s="27" t="s">
        <v>363</v>
      </c>
      <c r="E264" s="31" t="n">
        <v>144.4</v>
      </c>
      <c r="F264" s="31" t="n">
        <v>64.65</v>
      </c>
      <c r="G264" s="31" t="n">
        <v>29.8</v>
      </c>
      <c r="H264" s="31" t="n">
        <v>70</v>
      </c>
      <c r="I264" s="31"/>
      <c r="J264" s="31"/>
      <c r="K264" s="31"/>
      <c r="L264" s="31"/>
      <c r="M264" s="31"/>
      <c r="N264" s="31" t="n">
        <v>-20</v>
      </c>
      <c r="O264" s="31"/>
      <c r="P264" s="31" t="n">
        <v>1</v>
      </c>
      <c r="Q264" s="12" t="n">
        <f aca="false">IF(P264=1,SUM(F264:M264)+N264,"")</f>
        <v>144.45</v>
      </c>
      <c r="R264" s="38" t="n">
        <f aca="false">IF(AND(P264=1,ISNUMBER(E264)),Q264-E264,"")</f>
        <v>0.0500000000000114</v>
      </c>
      <c r="S264" s="31" t="n">
        <v>0</v>
      </c>
      <c r="T264" s="27" t="s">
        <v>364</v>
      </c>
    </row>
    <row r="265" customFormat="false" ht="15" hidden="false" customHeight="false" outlineLevel="0" collapsed="false">
      <c r="A265" s="31" t="n">
        <v>2025</v>
      </c>
      <c r="B265" s="31" t="n">
        <v>56</v>
      </c>
      <c r="C265" s="27" t="s">
        <v>195</v>
      </c>
      <c r="D265" s="27" t="s">
        <v>363</v>
      </c>
      <c r="E265" s="31" t="n">
        <v>140.2</v>
      </c>
      <c r="F265" s="31" t="n">
        <v>42</v>
      </c>
      <c r="G265" s="31" t="n">
        <v>38.1</v>
      </c>
      <c r="H265" s="31" t="n">
        <v>60</v>
      </c>
      <c r="I265" s="31"/>
      <c r="J265" s="31"/>
      <c r="K265" s="31"/>
      <c r="L265" s="31"/>
      <c r="M265" s="31"/>
      <c r="N265" s="31"/>
      <c r="O265" s="31"/>
      <c r="P265" s="31" t="n">
        <v>1</v>
      </c>
      <c r="Q265" s="12" t="n">
        <f aca="false">IF(P265=1,SUM(F265:M265)+N265,"")</f>
        <v>140.1</v>
      </c>
      <c r="R265" s="38" t="n">
        <f aca="false">IF(AND(P265=1,ISNUMBER(E265)),Q265-E265,"")</f>
        <v>-0.0999999999999943</v>
      </c>
      <c r="S265" s="31" t="n">
        <v>0</v>
      </c>
      <c r="T265" s="27" t="s">
        <v>364</v>
      </c>
    </row>
    <row r="266" customFormat="false" ht="15" hidden="false" customHeight="false" outlineLevel="0" collapsed="false">
      <c r="A266" s="31" t="n">
        <v>2025</v>
      </c>
      <c r="B266" s="31" t="n">
        <v>57</v>
      </c>
      <c r="C266" s="27" t="s">
        <v>194</v>
      </c>
      <c r="D266" s="27" t="s">
        <v>363</v>
      </c>
      <c r="E266" s="31" t="n">
        <v>134.9</v>
      </c>
      <c r="F266" s="31" t="n">
        <v>68.04</v>
      </c>
      <c r="G266" s="31" t="n">
        <v>16.9</v>
      </c>
      <c r="H266" s="31" t="n">
        <v>70</v>
      </c>
      <c r="I266" s="31"/>
      <c r="J266" s="31"/>
      <c r="K266" s="31"/>
      <c r="L266" s="31"/>
      <c r="M266" s="31"/>
      <c r="N266" s="31" t="n">
        <v>-20</v>
      </c>
      <c r="O266" s="31"/>
      <c r="P266" s="31" t="n">
        <v>1</v>
      </c>
      <c r="Q266" s="12" t="n">
        <f aca="false">IF(P266=1,SUM(F266:M266)+N266,"")</f>
        <v>134.94</v>
      </c>
      <c r="R266" s="38" t="n">
        <f aca="false">IF(AND(P266=1,ISNUMBER(E266)),Q266-E266,"")</f>
        <v>0.039999999999992</v>
      </c>
      <c r="S266" s="31" t="n">
        <v>0</v>
      </c>
      <c r="T266" s="27" t="s">
        <v>364</v>
      </c>
    </row>
    <row r="267" customFormat="false" ht="15" hidden="false" customHeight="false" outlineLevel="0" collapsed="false">
      <c r="A267" s="31" t="n">
        <v>2025</v>
      </c>
      <c r="B267" s="31" t="n">
        <v>58</v>
      </c>
      <c r="C267" s="27" t="s">
        <v>240</v>
      </c>
      <c r="D267" s="27" t="s">
        <v>363</v>
      </c>
      <c r="E267" s="31" t="n">
        <v>129.1</v>
      </c>
      <c r="F267" s="31" t="n">
        <v>59.12</v>
      </c>
      <c r="G267" s="31" t="n">
        <v>20</v>
      </c>
      <c r="H267" s="31" t="n">
        <v>50</v>
      </c>
      <c r="I267" s="31"/>
      <c r="J267" s="31"/>
      <c r="K267" s="31"/>
      <c r="L267" s="31"/>
      <c r="M267" s="31"/>
      <c r="N267" s="31"/>
      <c r="O267" s="31"/>
      <c r="P267" s="31" t="n">
        <v>1</v>
      </c>
      <c r="Q267" s="12" t="n">
        <f aca="false">IF(P267=1,SUM(F267:M267)+N267,"")</f>
        <v>129.12</v>
      </c>
      <c r="R267" s="38" t="n">
        <f aca="false">IF(AND(P267=1,ISNUMBER(E267)),Q267-E267,"")</f>
        <v>0.0200000000000102</v>
      </c>
      <c r="S267" s="31" t="n">
        <v>0</v>
      </c>
      <c r="T267" s="27" t="s">
        <v>364</v>
      </c>
    </row>
    <row r="268" customFormat="false" ht="15" hidden="false" customHeight="false" outlineLevel="0" collapsed="false">
      <c r="A268" s="31" t="n">
        <v>2025</v>
      </c>
      <c r="B268" s="31" t="n">
        <v>59</v>
      </c>
      <c r="C268" s="27" t="s">
        <v>204</v>
      </c>
      <c r="D268" s="27" t="s">
        <v>363</v>
      </c>
      <c r="E268" s="31" t="n">
        <v>128.7</v>
      </c>
      <c r="F268" s="31" t="n">
        <v>54.76</v>
      </c>
      <c r="G268" s="31" t="n">
        <v>18.9</v>
      </c>
      <c r="H268" s="31" t="n">
        <v>55</v>
      </c>
      <c r="I268" s="31"/>
      <c r="J268" s="31"/>
      <c r="K268" s="31"/>
      <c r="L268" s="31"/>
      <c r="M268" s="31"/>
      <c r="N268" s="31"/>
      <c r="O268" s="31"/>
      <c r="P268" s="31" t="n">
        <v>1</v>
      </c>
      <c r="Q268" s="12" t="n">
        <f aca="false">IF(P268=1,SUM(F268:M268)+N268,"")</f>
        <v>128.66</v>
      </c>
      <c r="R268" s="38" t="n">
        <f aca="false">IF(AND(P268=1,ISNUMBER(E268)),Q268-E268,"")</f>
        <v>-0.039999999999992</v>
      </c>
      <c r="S268" s="31" t="n">
        <v>0</v>
      </c>
      <c r="T268" s="27" t="s">
        <v>364</v>
      </c>
    </row>
    <row r="269" customFormat="false" ht="15" hidden="false" customHeight="false" outlineLevel="0" collapsed="false">
      <c r="A269" s="31" t="n">
        <v>2025</v>
      </c>
      <c r="B269" s="31" t="n">
        <v>60</v>
      </c>
      <c r="C269" s="27" t="s">
        <v>218</v>
      </c>
      <c r="D269" s="27" t="s">
        <v>363</v>
      </c>
      <c r="E269" s="31" t="n">
        <v>128.6</v>
      </c>
      <c r="F269" s="31" t="n">
        <v>63.55</v>
      </c>
      <c r="G269" s="31" t="n">
        <v>25</v>
      </c>
      <c r="H269" s="31" t="n">
        <v>40</v>
      </c>
      <c r="I269" s="31"/>
      <c r="J269" s="31"/>
      <c r="K269" s="31"/>
      <c r="L269" s="31"/>
      <c r="M269" s="31"/>
      <c r="N269" s="31"/>
      <c r="O269" s="31"/>
      <c r="P269" s="31" t="n">
        <v>1</v>
      </c>
      <c r="Q269" s="12" t="n">
        <f aca="false">IF(P269=1,SUM(F269:M269)+N269,"")</f>
        <v>128.55</v>
      </c>
      <c r="R269" s="38" t="n">
        <f aca="false">IF(AND(P269=1,ISNUMBER(E269)),Q269-E269,"")</f>
        <v>-0.049999999999983</v>
      </c>
      <c r="S269" s="31" t="n">
        <v>0</v>
      </c>
      <c r="T269" s="27" t="s">
        <v>364</v>
      </c>
    </row>
    <row r="270" customFormat="false" ht="15" hidden="false" customHeight="false" outlineLevel="0" collapsed="false">
      <c r="A270" s="31" t="n">
        <v>2025</v>
      </c>
      <c r="B270" s="31" t="n">
        <v>61</v>
      </c>
      <c r="C270" s="27" t="s">
        <v>258</v>
      </c>
      <c r="D270" s="27" t="s">
        <v>363</v>
      </c>
      <c r="E270" s="31" t="n">
        <v>124.9</v>
      </c>
      <c r="F270" s="31" t="n">
        <v>67.6</v>
      </c>
      <c r="G270" s="31" t="n">
        <v>17.3</v>
      </c>
      <c r="H270" s="31" t="n">
        <v>60</v>
      </c>
      <c r="I270" s="31"/>
      <c r="J270" s="31"/>
      <c r="K270" s="31"/>
      <c r="L270" s="31"/>
      <c r="M270" s="31"/>
      <c r="N270" s="31" t="n">
        <v>-20</v>
      </c>
      <c r="O270" s="31"/>
      <c r="P270" s="31" t="n">
        <v>1</v>
      </c>
      <c r="Q270" s="12" t="n">
        <f aca="false">IF(P270=1,SUM(F270:M270)+N270,"")</f>
        <v>124.9</v>
      </c>
      <c r="R270" s="38" t="n">
        <f aca="false">IF(AND(P270=1,ISNUMBER(E270)),Q270-E270,"")</f>
        <v>0</v>
      </c>
      <c r="S270" s="31" t="n">
        <v>0</v>
      </c>
      <c r="T270" s="27" t="s">
        <v>364</v>
      </c>
    </row>
    <row r="271" customFormat="false" ht="15" hidden="false" customHeight="false" outlineLevel="0" collapsed="false">
      <c r="A271" s="31" t="n">
        <v>2025</v>
      </c>
      <c r="B271" s="31" t="n">
        <v>62</v>
      </c>
      <c r="C271" s="27" t="s">
        <v>215</v>
      </c>
      <c r="D271" s="27" t="s">
        <v>363</v>
      </c>
      <c r="E271" s="31" t="n">
        <v>122.1</v>
      </c>
      <c r="F271" s="31" t="n">
        <v>56.63</v>
      </c>
      <c r="G271" s="31" t="n">
        <v>15.5</v>
      </c>
      <c r="H271" s="31" t="n">
        <v>70</v>
      </c>
      <c r="I271" s="31"/>
      <c r="J271" s="31"/>
      <c r="K271" s="31"/>
      <c r="L271" s="31"/>
      <c r="M271" s="31"/>
      <c r="N271" s="31" t="n">
        <v>-20</v>
      </c>
      <c r="O271" s="31"/>
      <c r="P271" s="31" t="n">
        <v>1</v>
      </c>
      <c r="Q271" s="12" t="n">
        <f aca="false">IF(P271=1,SUM(F271:M271)+N271,"")</f>
        <v>122.13</v>
      </c>
      <c r="R271" s="38" t="n">
        <f aca="false">IF(AND(P271=1,ISNUMBER(E271)),Q271-E271,"")</f>
        <v>0.0300000000000011</v>
      </c>
      <c r="S271" s="31" t="n">
        <v>0</v>
      </c>
      <c r="T271" s="27" t="s">
        <v>364</v>
      </c>
    </row>
    <row r="272" customFormat="false" ht="15" hidden="false" customHeight="false" outlineLevel="0" collapsed="false">
      <c r="A272" s="31" t="n">
        <v>2025</v>
      </c>
      <c r="B272" s="31" t="n">
        <v>63</v>
      </c>
      <c r="C272" s="27" t="s">
        <v>230</v>
      </c>
      <c r="D272" s="27" t="s">
        <v>363</v>
      </c>
      <c r="E272" s="31" t="n">
        <v>120.9</v>
      </c>
      <c r="F272" s="31" t="n">
        <v>43.01</v>
      </c>
      <c r="G272" s="31" t="n">
        <v>17.9</v>
      </c>
      <c r="H272" s="31" t="n">
        <v>60</v>
      </c>
      <c r="I272" s="31"/>
      <c r="J272" s="31"/>
      <c r="K272" s="31"/>
      <c r="L272" s="31"/>
      <c r="M272" s="31"/>
      <c r="N272" s="31"/>
      <c r="O272" s="31"/>
      <c r="P272" s="31" t="n">
        <v>1</v>
      </c>
      <c r="Q272" s="12" t="n">
        <f aca="false">IF(P272=1,SUM(F272:M272)+N272,"")</f>
        <v>120.91</v>
      </c>
      <c r="R272" s="38" t="n">
        <f aca="false">IF(AND(P272=1,ISNUMBER(E272)),Q272-E272,"")</f>
        <v>0.00999999999999091</v>
      </c>
      <c r="S272" s="31" t="n">
        <v>0</v>
      </c>
      <c r="T272" s="27" t="s">
        <v>364</v>
      </c>
    </row>
    <row r="273" customFormat="false" ht="15" hidden="false" customHeight="false" outlineLevel="0" collapsed="false">
      <c r="A273" s="31" t="n">
        <v>2025</v>
      </c>
      <c r="B273" s="31" t="n">
        <v>64</v>
      </c>
      <c r="C273" s="27" t="s">
        <v>216</v>
      </c>
      <c r="D273" s="27" t="s">
        <v>363</v>
      </c>
      <c r="E273" s="31" t="n">
        <v>119.7</v>
      </c>
      <c r="F273" s="31" t="n">
        <v>29.97</v>
      </c>
      <c r="G273" s="31" t="n">
        <v>19.8</v>
      </c>
      <c r="H273" s="31" t="n">
        <v>90</v>
      </c>
      <c r="I273" s="31"/>
      <c r="J273" s="31"/>
      <c r="K273" s="31"/>
      <c r="L273" s="31"/>
      <c r="M273" s="31"/>
      <c r="N273" s="31" t="n">
        <v>-20</v>
      </c>
      <c r="O273" s="31"/>
      <c r="P273" s="31" t="n">
        <v>1</v>
      </c>
      <c r="Q273" s="12" t="n">
        <f aca="false">IF(P273=1,SUM(F273:M273)+N273,"")</f>
        <v>119.77</v>
      </c>
      <c r="R273" s="38" t="n">
        <f aca="false">IF(AND(P273=1,ISNUMBER(E273)),Q273-E273,"")</f>
        <v>0.0700000000000074</v>
      </c>
      <c r="S273" s="31" t="n">
        <v>0</v>
      </c>
      <c r="T273" s="27" t="s">
        <v>364</v>
      </c>
    </row>
    <row r="274" customFormat="false" ht="15" hidden="false" customHeight="false" outlineLevel="0" collapsed="false">
      <c r="A274" s="31" t="n">
        <v>2025</v>
      </c>
      <c r="B274" s="31" t="n">
        <v>65</v>
      </c>
      <c r="C274" s="27" t="s">
        <v>233</v>
      </c>
      <c r="D274" s="27" t="s">
        <v>363</v>
      </c>
      <c r="E274" s="31" t="n">
        <v>119.4</v>
      </c>
      <c r="F274" s="31" t="n">
        <v>54.24</v>
      </c>
      <c r="G274" s="31" t="n">
        <v>15.1</v>
      </c>
      <c r="H274" s="31" t="n">
        <v>50</v>
      </c>
      <c r="I274" s="31"/>
      <c r="J274" s="31"/>
      <c r="K274" s="31"/>
      <c r="L274" s="31"/>
      <c r="M274" s="31"/>
      <c r="N274" s="31"/>
      <c r="O274" s="31"/>
      <c r="P274" s="31" t="n">
        <v>1</v>
      </c>
      <c r="Q274" s="12" t="n">
        <f aca="false">IF(P274=1,SUM(F274:M274)+N274,"")</f>
        <v>119.34</v>
      </c>
      <c r="R274" s="38" t="n">
        <f aca="false">IF(AND(P274=1,ISNUMBER(E274)),Q274-E274,"")</f>
        <v>-0.0600000000000023</v>
      </c>
      <c r="S274" s="31" t="n">
        <v>0</v>
      </c>
      <c r="T274" s="27" t="s">
        <v>364</v>
      </c>
    </row>
    <row r="275" customFormat="false" ht="15" hidden="false" customHeight="false" outlineLevel="0" collapsed="false">
      <c r="A275" s="31" t="n">
        <v>2025</v>
      </c>
      <c r="B275" s="31" t="n">
        <v>66</v>
      </c>
      <c r="C275" s="27" t="s">
        <v>211</v>
      </c>
      <c r="D275" s="27" t="s">
        <v>363</v>
      </c>
      <c r="E275" s="31" t="n">
        <v>118.8</v>
      </c>
      <c r="F275" s="31"/>
      <c r="G275" s="31" t="n">
        <v>43.8</v>
      </c>
      <c r="H275" s="31" t="n">
        <v>75</v>
      </c>
      <c r="I275" s="31"/>
      <c r="J275" s="31"/>
      <c r="K275" s="31"/>
      <c r="L275" s="31"/>
      <c r="M275" s="31"/>
      <c r="N275" s="31"/>
      <c r="O275" s="31"/>
      <c r="P275" s="31" t="n">
        <v>1</v>
      </c>
      <c r="Q275" s="12" t="n">
        <f aca="false">IF(P275=1,SUM(F275:M275)+N275,"")</f>
        <v>118.8</v>
      </c>
      <c r="R275" s="38" t="n">
        <f aca="false">IF(AND(P275=1,ISNUMBER(E275)),Q275-E275,"")</f>
        <v>0</v>
      </c>
      <c r="S275" s="31" t="n">
        <v>0</v>
      </c>
      <c r="T275" s="27" t="s">
        <v>364</v>
      </c>
    </row>
    <row r="276" customFormat="false" ht="15" hidden="false" customHeight="false" outlineLevel="0" collapsed="false">
      <c r="A276" s="31" t="n">
        <v>2025</v>
      </c>
      <c r="B276" s="31" t="n">
        <v>67</v>
      </c>
      <c r="C276" s="27" t="s">
        <v>253</v>
      </c>
      <c r="D276" s="27" t="s">
        <v>363</v>
      </c>
      <c r="E276" s="31" t="n">
        <v>117.5</v>
      </c>
      <c r="F276" s="31" t="n">
        <v>47.53</v>
      </c>
      <c r="G276" s="31" t="n">
        <v>20</v>
      </c>
      <c r="H276" s="31" t="n">
        <v>50</v>
      </c>
      <c r="I276" s="31"/>
      <c r="J276" s="31"/>
      <c r="K276" s="31"/>
      <c r="L276" s="31"/>
      <c r="M276" s="31"/>
      <c r="N276" s="31"/>
      <c r="O276" s="31"/>
      <c r="P276" s="31" t="n">
        <v>1</v>
      </c>
      <c r="Q276" s="12" t="n">
        <f aca="false">IF(P276=1,SUM(F276:M276)+N276,"")</f>
        <v>117.53</v>
      </c>
      <c r="R276" s="38" t="n">
        <f aca="false">IF(AND(P276=1,ISNUMBER(E276)),Q276-E276,"")</f>
        <v>0.0300000000000011</v>
      </c>
      <c r="S276" s="31" t="n">
        <v>0</v>
      </c>
      <c r="T276" s="27" t="s">
        <v>364</v>
      </c>
    </row>
    <row r="277" customFormat="false" ht="15" hidden="false" customHeight="false" outlineLevel="0" collapsed="false">
      <c r="A277" s="31" t="n">
        <v>2025</v>
      </c>
      <c r="B277" s="31" t="n">
        <v>68</v>
      </c>
      <c r="C277" s="27" t="s">
        <v>212</v>
      </c>
      <c r="D277" s="27" t="s">
        <v>363</v>
      </c>
      <c r="E277" s="31" t="n">
        <v>116.4</v>
      </c>
      <c r="F277" s="31" t="n">
        <v>55.39</v>
      </c>
      <c r="G277" s="31" t="n">
        <v>26</v>
      </c>
      <c r="H277" s="31" t="n">
        <v>55</v>
      </c>
      <c r="I277" s="31"/>
      <c r="J277" s="31"/>
      <c r="K277" s="31"/>
      <c r="L277" s="31"/>
      <c r="M277" s="31"/>
      <c r="N277" s="31" t="n">
        <v>-20</v>
      </c>
      <c r="O277" s="31"/>
      <c r="P277" s="31" t="n">
        <v>1</v>
      </c>
      <c r="Q277" s="12" t="n">
        <f aca="false">IF(P277=1,SUM(F277:M277)+N277,"")</f>
        <v>116.39</v>
      </c>
      <c r="R277" s="38" t="n">
        <f aca="false">IF(AND(P277=1,ISNUMBER(E277)),Q277-E277,"")</f>
        <v>-0.0100000000000193</v>
      </c>
      <c r="S277" s="31" t="n">
        <v>0</v>
      </c>
      <c r="T277" s="27" t="s">
        <v>364</v>
      </c>
    </row>
    <row r="278" customFormat="false" ht="15" hidden="false" customHeight="false" outlineLevel="0" collapsed="false">
      <c r="A278" s="31" t="n">
        <v>2025</v>
      </c>
      <c r="B278" s="31" t="n">
        <v>69</v>
      </c>
      <c r="C278" s="27" t="s">
        <v>247</v>
      </c>
      <c r="D278" s="27" t="s">
        <v>363</v>
      </c>
      <c r="E278" s="31" t="n">
        <v>107.1</v>
      </c>
      <c r="F278" s="31" t="n">
        <v>36.83</v>
      </c>
      <c r="G278" s="31" t="n">
        <v>10.3</v>
      </c>
      <c r="H278" s="31" t="n">
        <v>60</v>
      </c>
      <c r="I278" s="31"/>
      <c r="J278" s="31"/>
      <c r="K278" s="31"/>
      <c r="L278" s="31"/>
      <c r="M278" s="31"/>
      <c r="N278" s="31"/>
      <c r="O278" s="31"/>
      <c r="P278" s="31" t="n">
        <v>1</v>
      </c>
      <c r="Q278" s="12" t="n">
        <f aca="false">IF(P278=1,SUM(F278:M278)+N278,"")</f>
        <v>107.13</v>
      </c>
      <c r="R278" s="38" t="n">
        <f aca="false">IF(AND(P278=1,ISNUMBER(E278)),Q278-E278,"")</f>
        <v>0.0300000000000011</v>
      </c>
      <c r="S278" s="31" t="n">
        <v>0</v>
      </c>
      <c r="T278" s="27" t="s">
        <v>364</v>
      </c>
    </row>
    <row r="279" customFormat="false" ht="15" hidden="false" customHeight="false" outlineLevel="0" collapsed="false">
      <c r="A279" s="31" t="n">
        <v>2025</v>
      </c>
      <c r="B279" s="31" t="n">
        <v>70</v>
      </c>
      <c r="C279" s="27" t="s">
        <v>185</v>
      </c>
      <c r="D279" s="27" t="s">
        <v>363</v>
      </c>
      <c r="E279" s="31" t="n">
        <v>95.9</v>
      </c>
      <c r="F279" s="31" t="n">
        <v>54.27</v>
      </c>
      <c r="G279" s="31" t="n">
        <v>11.6</v>
      </c>
      <c r="H279" s="31" t="n">
        <v>50</v>
      </c>
      <c r="I279" s="31"/>
      <c r="J279" s="31"/>
      <c r="K279" s="31"/>
      <c r="L279" s="31"/>
      <c r="M279" s="31"/>
      <c r="N279" s="31" t="n">
        <v>-20</v>
      </c>
      <c r="O279" s="31"/>
      <c r="P279" s="31" t="n">
        <v>1</v>
      </c>
      <c r="Q279" s="12" t="n">
        <f aca="false">IF(P279=1,SUM(F279:M279)+N279,"")</f>
        <v>95.87</v>
      </c>
      <c r="R279" s="38" t="n">
        <f aca="false">IF(AND(P279=1,ISNUMBER(E279)),Q279-E279,"")</f>
        <v>-0.0300000000000011</v>
      </c>
      <c r="S279" s="31" t="n">
        <v>0</v>
      </c>
      <c r="T279" s="27" t="s">
        <v>364</v>
      </c>
    </row>
    <row r="280" customFormat="false" ht="15" hidden="false" customHeight="false" outlineLevel="0" collapsed="false">
      <c r="A280" s="31" t="n">
        <v>2025</v>
      </c>
      <c r="B280" s="31" t="n">
        <v>71</v>
      </c>
      <c r="C280" s="27" t="s">
        <v>228</v>
      </c>
      <c r="D280" s="27" t="s">
        <v>363</v>
      </c>
      <c r="E280" s="31" t="n">
        <v>94.6</v>
      </c>
      <c r="F280" s="31" t="n">
        <v>49.52</v>
      </c>
      <c r="G280" s="31" t="n">
        <v>0.1</v>
      </c>
      <c r="H280" s="31" t="n">
        <v>65</v>
      </c>
      <c r="I280" s="31"/>
      <c r="J280" s="31"/>
      <c r="K280" s="31"/>
      <c r="L280" s="31"/>
      <c r="M280" s="31"/>
      <c r="N280" s="31" t="n">
        <v>-20</v>
      </c>
      <c r="O280" s="31"/>
      <c r="P280" s="31" t="n">
        <v>1</v>
      </c>
      <c r="Q280" s="12" t="n">
        <f aca="false">IF(P280=1,SUM(F280:M280)+N280,"")</f>
        <v>94.62</v>
      </c>
      <c r="R280" s="38" t="n">
        <f aca="false">IF(AND(P280=1,ISNUMBER(E280)),Q280-E280,"")</f>
        <v>0.0200000000000102</v>
      </c>
      <c r="S280" s="31" t="n">
        <v>0</v>
      </c>
      <c r="T280" s="27" t="s">
        <v>364</v>
      </c>
    </row>
    <row r="281" customFormat="false" ht="15" hidden="false" customHeight="false" outlineLevel="0" collapsed="false">
      <c r="A281" s="31" t="n">
        <v>2025</v>
      </c>
      <c r="B281" s="31" t="n">
        <v>72</v>
      </c>
      <c r="C281" s="27" t="s">
        <v>263</v>
      </c>
      <c r="D281" s="27" t="s">
        <v>363</v>
      </c>
      <c r="E281" s="31" t="n">
        <v>75.4</v>
      </c>
      <c r="F281" s="31" t="n">
        <v>35.6</v>
      </c>
      <c r="G281" s="31" t="n">
        <v>14.8</v>
      </c>
      <c r="H281" s="31" t="n">
        <v>25</v>
      </c>
      <c r="I281" s="31"/>
      <c r="J281" s="31"/>
      <c r="K281" s="31"/>
      <c r="L281" s="31"/>
      <c r="M281" s="31"/>
      <c r="N281" s="31"/>
      <c r="O281" s="31"/>
      <c r="P281" s="31" t="n">
        <v>1</v>
      </c>
      <c r="Q281" s="12" t="n">
        <f aca="false">IF(P281=1,SUM(F281:M281)+N281,"")</f>
        <v>75.4</v>
      </c>
      <c r="R281" s="38" t="n">
        <f aca="false">IF(AND(P281=1,ISNUMBER(E281)),Q281-E281,"")</f>
        <v>0</v>
      </c>
      <c r="S281" s="31" t="n">
        <v>0</v>
      </c>
      <c r="T281" s="27" t="s">
        <v>364</v>
      </c>
    </row>
    <row r="282" customFormat="false" ht="15" hidden="false" customHeight="false" outlineLevel="0" collapsed="false">
      <c r="A282" s="31" t="n">
        <v>2025</v>
      </c>
      <c r="B282" s="31" t="n">
        <v>73</v>
      </c>
      <c r="C282" s="27" t="s">
        <v>329</v>
      </c>
      <c r="D282" s="27" t="s">
        <v>363</v>
      </c>
      <c r="E282" s="31" t="n">
        <v>68.7</v>
      </c>
      <c r="F282" s="31"/>
      <c r="G282" s="31" t="n">
        <v>13.7</v>
      </c>
      <c r="H282" s="31" t="n">
        <v>55</v>
      </c>
      <c r="I282" s="31"/>
      <c r="J282" s="31"/>
      <c r="K282" s="31"/>
      <c r="L282" s="31"/>
      <c r="M282" s="31"/>
      <c r="N282" s="31"/>
      <c r="O282" s="31"/>
      <c r="P282" s="31" t="n">
        <v>1</v>
      </c>
      <c r="Q282" s="12" t="n">
        <f aca="false">IF(P282=1,SUM(F282:M282)+N282,"")</f>
        <v>68.7</v>
      </c>
      <c r="R282" s="38" t="n">
        <f aca="false">IF(AND(P282=1,ISNUMBER(E282)),Q282-E282,"")</f>
        <v>0</v>
      </c>
      <c r="S282" s="31" t="n">
        <v>0</v>
      </c>
      <c r="T282" s="27" t="s">
        <v>364</v>
      </c>
    </row>
    <row r="283" customFormat="false" ht="15" hidden="false" customHeight="false" outlineLevel="0" collapsed="false">
      <c r="A283" s="31" t="n">
        <v>2025</v>
      </c>
      <c r="B283" s="31" t="n">
        <v>74</v>
      </c>
      <c r="C283" s="27" t="s">
        <v>252</v>
      </c>
      <c r="D283" s="27" t="s">
        <v>363</v>
      </c>
      <c r="E283" s="31" t="n">
        <v>59.1</v>
      </c>
      <c r="F283" s="31"/>
      <c r="G283" s="31" t="n">
        <v>59.1</v>
      </c>
      <c r="H283" s="31"/>
      <c r="I283" s="31"/>
      <c r="J283" s="31"/>
      <c r="K283" s="31"/>
      <c r="L283" s="31"/>
      <c r="M283" s="31"/>
      <c r="N283" s="31"/>
      <c r="O283" s="31"/>
      <c r="P283" s="31" t="n">
        <v>1</v>
      </c>
      <c r="Q283" s="12" t="n">
        <f aca="false">IF(P283=1,SUM(F283:M283)+N283,"")</f>
        <v>59.1</v>
      </c>
      <c r="R283" s="38" t="n">
        <f aca="false">IF(AND(P283=1,ISNUMBER(E283)),Q283-E283,"")</f>
        <v>0</v>
      </c>
      <c r="S283" s="31" t="n">
        <v>0</v>
      </c>
      <c r="T283" s="27" t="s">
        <v>364</v>
      </c>
    </row>
    <row r="284" customFormat="false" ht="15" hidden="false" customHeight="false" outlineLevel="0" collapsed="false">
      <c r="A284" s="31" t="n">
        <v>2025</v>
      </c>
      <c r="B284" s="31" t="n">
        <v>75</v>
      </c>
      <c r="C284" s="27" t="s">
        <v>227</v>
      </c>
      <c r="D284" s="27" t="s">
        <v>363</v>
      </c>
      <c r="E284" s="31" t="n">
        <v>43.1</v>
      </c>
      <c r="F284" s="31" t="n">
        <v>21.27</v>
      </c>
      <c r="G284" s="31" t="n">
        <v>16.9</v>
      </c>
      <c r="H284" s="31" t="n">
        <v>25</v>
      </c>
      <c r="I284" s="31"/>
      <c r="J284" s="31"/>
      <c r="K284" s="31"/>
      <c r="L284" s="31"/>
      <c r="M284" s="31"/>
      <c r="N284" s="31" t="n">
        <v>-20</v>
      </c>
      <c r="O284" s="31"/>
      <c r="P284" s="31" t="n">
        <v>1</v>
      </c>
      <c r="Q284" s="12" t="n">
        <f aca="false">IF(P284=1,SUM(F284:M284)+N284,"")</f>
        <v>43.17</v>
      </c>
      <c r="R284" s="38" t="n">
        <f aca="false">IF(AND(P284=1,ISNUMBER(E284)),Q284-E284,"")</f>
        <v>0.0700000000000003</v>
      </c>
      <c r="S284" s="31" t="n">
        <v>0</v>
      </c>
      <c r="T284" s="27" t="s">
        <v>364</v>
      </c>
    </row>
    <row r="285" customFormat="false" ht="15" hidden="false" customHeight="false" outlineLevel="0" collapsed="false">
      <c r="A285" s="31" t="n">
        <v>2025</v>
      </c>
      <c r="B285" s="31" t="n">
        <v>76</v>
      </c>
      <c r="C285" s="27" t="s">
        <v>209</v>
      </c>
      <c r="D285" s="27" t="s">
        <v>363</v>
      </c>
      <c r="E285" s="31" t="n">
        <v>42.6</v>
      </c>
      <c r="F285" s="31"/>
      <c r="G285" s="31" t="n">
        <v>12.6</v>
      </c>
      <c r="H285" s="31" t="n">
        <v>30</v>
      </c>
      <c r="I285" s="31"/>
      <c r="J285" s="31"/>
      <c r="K285" s="31"/>
      <c r="L285" s="31"/>
      <c r="M285" s="31"/>
      <c r="N285" s="31"/>
      <c r="O285" s="31"/>
      <c r="P285" s="31" t="n">
        <v>1</v>
      </c>
      <c r="Q285" s="12" t="n">
        <f aca="false">IF(P285=1,SUM(F285:M285)+N285,"")</f>
        <v>42.6</v>
      </c>
      <c r="R285" s="38" t="n">
        <f aca="false">IF(AND(P285=1,ISNUMBER(E285)),Q285-E285,"")</f>
        <v>0</v>
      </c>
      <c r="S285" s="31" t="n">
        <v>0</v>
      </c>
      <c r="T285" s="27" t="s">
        <v>364</v>
      </c>
    </row>
    <row r="286" customFormat="false" ht="15" hidden="false" customHeight="false" outlineLevel="0" collapsed="false">
      <c r="A286" s="31" t="n">
        <v>2025</v>
      </c>
      <c r="B286" s="31" t="n">
        <v>77</v>
      </c>
      <c r="C286" s="27" t="s">
        <v>334</v>
      </c>
      <c r="D286" s="27" t="s">
        <v>363</v>
      </c>
      <c r="E286" s="31" t="n">
        <v>30.1</v>
      </c>
      <c r="F286" s="31" t="n">
        <v>40.09</v>
      </c>
      <c r="G286" s="31"/>
      <c r="H286" s="31" t="n">
        <v>40</v>
      </c>
      <c r="I286" s="31"/>
      <c r="J286" s="31"/>
      <c r="K286" s="31"/>
      <c r="L286" s="31"/>
      <c r="M286" s="31"/>
      <c r="N286" s="31" t="n">
        <v>-50</v>
      </c>
      <c r="O286" s="31"/>
      <c r="P286" s="31" t="n">
        <v>1</v>
      </c>
      <c r="Q286" s="12" t="n">
        <f aca="false">IF(P286=1,SUM(F286:M286)+N286,"")</f>
        <v>30.09</v>
      </c>
      <c r="R286" s="38" t="n">
        <f aca="false">IF(AND(P286=1,ISNUMBER(E286)),Q286-E286,"")</f>
        <v>-0.00999999999999801</v>
      </c>
      <c r="S286" s="31" t="n">
        <v>0</v>
      </c>
      <c r="T286" s="27" t="s">
        <v>364</v>
      </c>
    </row>
    <row r="287" customFormat="false" ht="15" hidden="false" customHeight="false" outlineLevel="0" collapsed="false">
      <c r="A287" s="31" t="n">
        <v>2025</v>
      </c>
      <c r="B287" s="31" t="n">
        <v>78</v>
      </c>
      <c r="C287" s="27" t="s">
        <v>379</v>
      </c>
      <c r="D287" s="27" t="s">
        <v>363</v>
      </c>
      <c r="E287" s="31" t="n">
        <v>25.4</v>
      </c>
      <c r="F287" s="31" t="n">
        <v>0.67</v>
      </c>
      <c r="G287" s="31" t="n">
        <v>4.8</v>
      </c>
      <c r="H287" s="31" t="n">
        <v>20</v>
      </c>
      <c r="I287" s="31"/>
      <c r="J287" s="31"/>
      <c r="K287" s="31"/>
      <c r="L287" s="31"/>
      <c r="M287" s="31"/>
      <c r="N287" s="31"/>
      <c r="O287" s="31"/>
      <c r="P287" s="31" t="n">
        <v>1</v>
      </c>
      <c r="Q287" s="12" t="n">
        <f aca="false">IF(P287=1,SUM(F287:M287)+N287,"")</f>
        <v>25.47</v>
      </c>
      <c r="R287" s="38" t="n">
        <f aca="false">IF(AND(P287=1,ISNUMBER(E287)),Q287-E287,"")</f>
        <v>0.0700000000000003</v>
      </c>
      <c r="S287" s="31" t="n">
        <v>0</v>
      </c>
      <c r="T287" s="27" t="s">
        <v>364</v>
      </c>
    </row>
    <row r="288" customFormat="false" ht="15" hidden="false" customHeight="false" outlineLevel="0" collapsed="false">
      <c r="A288" s="31" t="n">
        <v>2025</v>
      </c>
      <c r="B288" s="31"/>
      <c r="C288" s="27" t="s">
        <v>239</v>
      </c>
      <c r="D288" s="27" t="s">
        <v>368</v>
      </c>
      <c r="E288" s="31" t="n">
        <v>43.5</v>
      </c>
      <c r="F288" s="31"/>
      <c r="G288" s="31" t="n">
        <v>43.5</v>
      </c>
      <c r="H288" s="31"/>
      <c r="I288" s="31"/>
      <c r="J288" s="31"/>
      <c r="K288" s="31"/>
      <c r="L288" s="31"/>
      <c r="M288" s="31"/>
      <c r="N288" s="31"/>
      <c r="O288" s="31"/>
      <c r="P288" s="31" t="n">
        <v>0</v>
      </c>
      <c r="Q288" s="12" t="str">
        <f aca="false">IF(P288=1,SUM(F288:M288)+N288,"")</f>
        <v/>
      </c>
      <c r="R288" s="38" t="str">
        <f aca="false">IF(AND(P288=1,ISNUMBER(E288)),Q288-E288,"")</f>
        <v/>
      </c>
      <c r="S288" s="31" t="n">
        <v>0</v>
      </c>
      <c r="T288" s="27" t="s">
        <v>364</v>
      </c>
    </row>
    <row r="289" customFormat="false" ht="15" hidden="false" customHeight="false" outlineLevel="0" collapsed="false">
      <c r="A289" s="31" t="n">
        <v>2025</v>
      </c>
      <c r="B289" s="31"/>
      <c r="C289" s="27" t="s">
        <v>380</v>
      </c>
      <c r="D289" s="27" t="s">
        <v>368</v>
      </c>
      <c r="E289" s="31" t="n">
        <v>0.1</v>
      </c>
      <c r="F289" s="31"/>
      <c r="G289" s="31" t="n">
        <v>0.1</v>
      </c>
      <c r="H289" s="31"/>
      <c r="I289" s="31"/>
      <c r="J289" s="31"/>
      <c r="K289" s="31"/>
      <c r="L289" s="31"/>
      <c r="M289" s="31"/>
      <c r="N289" s="31"/>
      <c r="O289" s="31"/>
      <c r="P289" s="31" t="n">
        <v>0</v>
      </c>
      <c r="Q289" s="12" t="str">
        <f aca="false">IF(P289=1,SUM(F289:M289)+N289,"")</f>
        <v/>
      </c>
      <c r="R289" s="38" t="str">
        <f aca="false">IF(AND(P289=1,ISNUMBER(E289)),Q289-E289,"")</f>
        <v/>
      </c>
      <c r="S289" s="31" t="n">
        <v>0</v>
      </c>
      <c r="T289" s="27" t="s">
        <v>364</v>
      </c>
    </row>
    <row r="290" customFormat="false" ht="15" hidden="false" customHeight="false" outlineLevel="0" collapsed="false">
      <c r="A290" s="31" t="n">
        <v>2025</v>
      </c>
      <c r="B290" s="31"/>
      <c r="C290" s="27" t="s">
        <v>226</v>
      </c>
      <c r="D290" s="27" t="s">
        <v>368</v>
      </c>
      <c r="E290" s="31" t="n">
        <v>10.2</v>
      </c>
      <c r="F290" s="31"/>
      <c r="G290" s="31" t="n">
        <v>10.2</v>
      </c>
      <c r="H290" s="31"/>
      <c r="I290" s="31"/>
      <c r="J290" s="31"/>
      <c r="K290" s="31"/>
      <c r="L290" s="31"/>
      <c r="M290" s="31"/>
      <c r="N290" s="31"/>
      <c r="O290" s="31"/>
      <c r="P290" s="31" t="n">
        <v>0</v>
      </c>
      <c r="Q290" s="12" t="str">
        <f aca="false">IF(P290=1,SUM(F290:M290)+N290,"")</f>
        <v/>
      </c>
      <c r="R290" s="38" t="str">
        <f aca="false">IF(AND(P290=1,ISNUMBER(E290)),Q290-E290,"")</f>
        <v/>
      </c>
      <c r="S290" s="31" t="n">
        <v>0</v>
      </c>
      <c r="T290" s="27" t="s">
        <v>364</v>
      </c>
    </row>
    <row r="291" customFormat="false" ht="15" hidden="false" customHeight="false" outlineLevel="0" collapsed="false">
      <c r="A291" s="31" t="n">
        <v>2025</v>
      </c>
      <c r="B291" s="31"/>
      <c r="C291" s="27" t="s">
        <v>369</v>
      </c>
      <c r="D291" s="27" t="s">
        <v>368</v>
      </c>
      <c r="E291" s="31" t="n">
        <v>17.3</v>
      </c>
      <c r="F291" s="31"/>
      <c r="G291" s="31" t="n">
        <v>17.3</v>
      </c>
      <c r="H291" s="31"/>
      <c r="I291" s="31"/>
      <c r="J291" s="31"/>
      <c r="K291" s="31"/>
      <c r="L291" s="31"/>
      <c r="M291" s="31"/>
      <c r="N291" s="31"/>
      <c r="O291" s="31"/>
      <c r="P291" s="31" t="n">
        <v>0</v>
      </c>
      <c r="Q291" s="12" t="str">
        <f aca="false">IF(P291=1,SUM(F291:M291)+N291,"")</f>
        <v/>
      </c>
      <c r="R291" s="38" t="str">
        <f aca="false">IF(AND(P291=1,ISNUMBER(E291)),Q291-E291,"")</f>
        <v/>
      </c>
      <c r="S291" s="31" t="n">
        <v>0</v>
      </c>
      <c r="T291" s="27" t="s">
        <v>364</v>
      </c>
    </row>
    <row r="292" customFormat="false" ht="15" hidden="false" customHeight="false" outlineLevel="0" collapsed="false">
      <c r="A292" s="31" t="n">
        <v>2025</v>
      </c>
      <c r="B292" s="31"/>
      <c r="C292" s="27" t="s">
        <v>257</v>
      </c>
      <c r="D292" s="27" t="s">
        <v>368</v>
      </c>
      <c r="E292" s="31" t="n">
        <v>15.1</v>
      </c>
      <c r="F292" s="31"/>
      <c r="G292" s="31" t="n">
        <v>15.1</v>
      </c>
      <c r="H292" s="31"/>
      <c r="I292" s="31"/>
      <c r="J292" s="31"/>
      <c r="K292" s="31"/>
      <c r="L292" s="31"/>
      <c r="M292" s="31"/>
      <c r="N292" s="31"/>
      <c r="O292" s="31"/>
      <c r="P292" s="31" t="n">
        <v>0</v>
      </c>
      <c r="Q292" s="12" t="str">
        <f aca="false">IF(P292=1,SUM(F292:M292)+N292,"")</f>
        <v/>
      </c>
      <c r="R292" s="38" t="str">
        <f aca="false">IF(AND(P292=1,ISNUMBER(E292)),Q292-E292,"")</f>
        <v/>
      </c>
      <c r="S292" s="31" t="n">
        <v>0</v>
      </c>
      <c r="T292" s="27" t="s">
        <v>364</v>
      </c>
    </row>
    <row r="293" customFormat="false" ht="15" hidden="false" customHeight="false" outlineLevel="0" collapsed="false">
      <c r="A293" s="31" t="n">
        <v>2025</v>
      </c>
      <c r="B293" s="31"/>
      <c r="C293" s="27" t="s">
        <v>203</v>
      </c>
      <c r="D293" s="27" t="s">
        <v>368</v>
      </c>
      <c r="E293" s="31" t="n">
        <v>20</v>
      </c>
      <c r="F293" s="31"/>
      <c r="G293" s="31" t="n">
        <v>20</v>
      </c>
      <c r="H293" s="31"/>
      <c r="I293" s="31"/>
      <c r="J293" s="31"/>
      <c r="K293" s="31"/>
      <c r="L293" s="31"/>
      <c r="M293" s="31"/>
      <c r="N293" s="31" t="n">
        <v>-20</v>
      </c>
      <c r="O293" s="31"/>
      <c r="P293" s="31" t="n">
        <v>0</v>
      </c>
      <c r="Q293" s="12" t="str">
        <f aca="false">IF(P293=1,SUM(F293:M293)+N293,"")</f>
        <v/>
      </c>
      <c r="R293" s="38" t="str">
        <f aca="false">IF(AND(P293=1,ISNUMBER(E293)),Q293-E293,"")</f>
        <v/>
      </c>
      <c r="S293" s="31" t="n">
        <v>0</v>
      </c>
      <c r="T293" s="27" t="s">
        <v>364</v>
      </c>
    </row>
    <row r="294" customFormat="false" ht="15" hidden="false" customHeight="false" outlineLevel="0" collapsed="false">
      <c r="A294" s="31" t="n">
        <v>2025</v>
      </c>
      <c r="B294" s="31"/>
      <c r="C294" s="27" t="s">
        <v>250</v>
      </c>
      <c r="D294" s="27" t="s">
        <v>372</v>
      </c>
      <c r="E294" s="31"/>
      <c r="F294" s="31"/>
      <c r="G294" s="31"/>
      <c r="H294" s="31"/>
      <c r="I294" s="31"/>
      <c r="J294" s="31"/>
      <c r="K294" s="31"/>
      <c r="L294" s="31"/>
      <c r="M294" s="31"/>
      <c r="N294" s="31"/>
      <c r="O294" s="31"/>
      <c r="P294" s="31" t="n">
        <v>0</v>
      </c>
      <c r="Q294" s="12" t="str">
        <f aca="false">IF(P294=1,SUM(F294:M294)+N294,"")</f>
        <v/>
      </c>
      <c r="R294" s="38" t="str">
        <f aca="false">IF(AND(P294=1,ISNUMBER(E294)),Q294-E294,"")</f>
        <v/>
      </c>
      <c r="S294" s="31" t="n">
        <v>0</v>
      </c>
      <c r="T294" s="27" t="s">
        <v>364</v>
      </c>
    </row>
    <row r="295" customFormat="false" ht="15" hidden="false" customHeight="false" outlineLevel="0" collapsed="false">
      <c r="A295" s="31" t="n">
        <v>2025</v>
      </c>
      <c r="B295" s="31"/>
      <c r="C295" s="27" t="s">
        <v>196</v>
      </c>
      <c r="D295" s="27" t="s">
        <v>378</v>
      </c>
      <c r="E295" s="31" t="n">
        <v>20</v>
      </c>
      <c r="F295" s="31" t="n">
        <v>37.21</v>
      </c>
      <c r="G295" s="31" t="n">
        <v>16.3</v>
      </c>
      <c r="H295" s="31" t="n">
        <v>30</v>
      </c>
      <c r="I295" s="31"/>
      <c r="J295" s="31"/>
      <c r="K295" s="31"/>
      <c r="L295" s="31"/>
      <c r="M295" s="31"/>
      <c r="N295" s="31" t="n">
        <v>-120</v>
      </c>
      <c r="O295" s="31"/>
      <c r="P295" s="31" t="n">
        <v>0</v>
      </c>
      <c r="Q295" s="12" t="str">
        <f aca="false">IF(P295=1,SUM(F295:M295)+N295,"")</f>
        <v/>
      </c>
      <c r="R295" s="38" t="str">
        <f aca="false">IF(AND(P295=1,ISNUMBER(E295)),Q295-E295,"")</f>
        <v/>
      </c>
      <c r="S295" s="31" t="n">
        <v>0</v>
      </c>
      <c r="T295" s="27" t="s">
        <v>364</v>
      </c>
    </row>
    <row r="296" customFormat="false" ht="15" hidden="false" customHeight="false" outlineLevel="0" collapsed="false">
      <c r="A296" s="31" t="n">
        <v>2025</v>
      </c>
      <c r="B296" s="31"/>
      <c r="C296" s="27" t="s">
        <v>231</v>
      </c>
      <c r="D296" s="27" t="s">
        <v>368</v>
      </c>
      <c r="E296" s="31" t="n">
        <v>19.3</v>
      </c>
      <c r="F296" s="31"/>
      <c r="G296" s="31" t="n">
        <v>19.3</v>
      </c>
      <c r="H296" s="31"/>
      <c r="I296" s="31"/>
      <c r="J296" s="31"/>
      <c r="K296" s="31"/>
      <c r="L296" s="31"/>
      <c r="M296" s="31"/>
      <c r="N296" s="31"/>
      <c r="O296" s="31"/>
      <c r="P296" s="31" t="n">
        <v>0</v>
      </c>
      <c r="Q296" s="12" t="str">
        <f aca="false">IF(P296=1,SUM(F296:M296)+N296,"")</f>
        <v/>
      </c>
      <c r="R296" s="38" t="str">
        <f aca="false">IF(AND(P296=1,ISNUMBER(E296)),Q296-E296,"")</f>
        <v/>
      </c>
      <c r="S296" s="31" t="n">
        <v>0</v>
      </c>
      <c r="T296" s="27" t="s">
        <v>364</v>
      </c>
    </row>
    <row r="297" customFormat="false" ht="15" hidden="false" customHeight="false" outlineLevel="0" collapsed="false">
      <c r="A297" s="31" t="n">
        <v>2025</v>
      </c>
      <c r="B297" s="31"/>
      <c r="C297" s="27" t="s">
        <v>381</v>
      </c>
      <c r="D297" s="27" t="s">
        <v>368</v>
      </c>
      <c r="E297" s="31" t="n">
        <v>18.8</v>
      </c>
      <c r="F297" s="31"/>
      <c r="G297" s="31" t="n">
        <v>18.8</v>
      </c>
      <c r="H297" s="31"/>
      <c r="I297" s="31"/>
      <c r="J297" s="31"/>
      <c r="K297" s="31"/>
      <c r="L297" s="31"/>
      <c r="M297" s="31"/>
      <c r="N297" s="31"/>
      <c r="O297" s="31"/>
      <c r="P297" s="31" t="n">
        <v>0</v>
      </c>
      <c r="Q297" s="12" t="str">
        <f aca="false">IF(P297=1,SUM(F297:M297)+N297,"")</f>
        <v/>
      </c>
      <c r="R297" s="38" t="str">
        <f aca="false">IF(AND(P297=1,ISNUMBER(E297)),Q297-E297,"")</f>
        <v/>
      </c>
      <c r="S297" s="31" t="n">
        <v>0</v>
      </c>
      <c r="T297" s="27" t="s">
        <v>364</v>
      </c>
    </row>
    <row r="298" customFormat="false" ht="15" hidden="false" customHeight="false" outlineLevel="0" collapsed="false">
      <c r="A298" s="31" t="n">
        <v>2025</v>
      </c>
      <c r="B298" s="31"/>
      <c r="C298" s="27" t="s">
        <v>382</v>
      </c>
      <c r="D298" s="27" t="s">
        <v>368</v>
      </c>
      <c r="E298" s="31" t="n">
        <v>12.6</v>
      </c>
      <c r="F298" s="31"/>
      <c r="G298" s="31" t="n">
        <v>12.6</v>
      </c>
      <c r="H298" s="31"/>
      <c r="I298" s="31"/>
      <c r="J298" s="31"/>
      <c r="K298" s="31"/>
      <c r="L298" s="31"/>
      <c r="M298" s="31"/>
      <c r="N298" s="31"/>
      <c r="O298" s="31"/>
      <c r="P298" s="31" t="n">
        <v>0</v>
      </c>
      <c r="Q298" s="12" t="str">
        <f aca="false">IF(P298=1,SUM(F298:M298)+N298,"")</f>
        <v/>
      </c>
      <c r="R298" s="38" t="str">
        <f aca="false">IF(AND(P298=1,ISNUMBER(E298)),Q298-E298,"")</f>
        <v/>
      </c>
      <c r="S298" s="31" t="n">
        <v>0</v>
      </c>
      <c r="T298" s="27" t="s">
        <v>364</v>
      </c>
    </row>
    <row r="299" customFormat="false" ht="15" hidden="false" customHeight="false" outlineLevel="0" collapsed="false">
      <c r="A299" s="31" t="n">
        <v>2025</v>
      </c>
      <c r="B299" s="31"/>
      <c r="C299" s="27" t="s">
        <v>237</v>
      </c>
      <c r="D299" s="27" t="s">
        <v>368</v>
      </c>
      <c r="E299" s="31" t="n">
        <v>20</v>
      </c>
      <c r="F299" s="31"/>
      <c r="G299" s="31" t="n">
        <v>20</v>
      </c>
      <c r="H299" s="31"/>
      <c r="I299" s="31"/>
      <c r="J299" s="31"/>
      <c r="K299" s="31"/>
      <c r="L299" s="31"/>
      <c r="M299" s="31"/>
      <c r="N299" s="31"/>
      <c r="O299" s="31"/>
      <c r="P299" s="31" t="n">
        <v>0</v>
      </c>
      <c r="Q299" s="12" t="str">
        <f aca="false">IF(P299=1,SUM(F299:M299)+N299,"")</f>
        <v/>
      </c>
      <c r="R299" s="38" t="str">
        <f aca="false">IF(AND(P299=1,ISNUMBER(E299)),Q299-E299,"")</f>
        <v/>
      </c>
      <c r="S299" s="31" t="n">
        <v>0</v>
      </c>
      <c r="T299" s="27" t="s">
        <v>364</v>
      </c>
    </row>
    <row r="300" customFormat="false" ht="15" hidden="false" customHeight="false" outlineLevel="0" collapsed="false">
      <c r="A300" s="31" t="n">
        <v>2025</v>
      </c>
      <c r="B300" s="31"/>
      <c r="C300" s="27" t="s">
        <v>225</v>
      </c>
      <c r="D300" s="27" t="s">
        <v>368</v>
      </c>
      <c r="E300" s="31" t="n">
        <v>16.3</v>
      </c>
      <c r="F300" s="31"/>
      <c r="G300" s="31" t="n">
        <v>16.3</v>
      </c>
      <c r="H300" s="31"/>
      <c r="I300" s="31"/>
      <c r="J300" s="31"/>
      <c r="K300" s="31"/>
      <c r="L300" s="31"/>
      <c r="M300" s="31"/>
      <c r="N300" s="31" t="n">
        <v>-20</v>
      </c>
      <c r="O300" s="31"/>
      <c r="P300" s="31" t="n">
        <v>0</v>
      </c>
      <c r="Q300" s="12" t="str">
        <f aca="false">IF(P300=1,SUM(F300:M300)+N300,"")</f>
        <v/>
      </c>
      <c r="R300" s="38" t="str">
        <f aca="false">IF(AND(P300=1,ISNUMBER(E300)),Q300-E300,"")</f>
        <v/>
      </c>
      <c r="S300" s="31" t="n">
        <v>0</v>
      </c>
      <c r="T300" s="27" t="s">
        <v>364</v>
      </c>
    </row>
    <row r="301" customFormat="false" ht="15" hidden="false" customHeight="false" outlineLevel="0" collapsed="false">
      <c r="A301" s="31" t="n">
        <v>2025</v>
      </c>
      <c r="B301" s="31"/>
      <c r="C301" s="27" t="s">
        <v>331</v>
      </c>
      <c r="D301" s="27" t="s">
        <v>368</v>
      </c>
      <c r="E301" s="31" t="n">
        <v>19</v>
      </c>
      <c r="F301" s="31"/>
      <c r="G301" s="31" t="n">
        <v>19</v>
      </c>
      <c r="H301" s="31"/>
      <c r="I301" s="31"/>
      <c r="J301" s="31"/>
      <c r="K301" s="31"/>
      <c r="L301" s="31"/>
      <c r="M301" s="31"/>
      <c r="N301" s="31"/>
      <c r="O301" s="31"/>
      <c r="P301" s="31" t="n">
        <v>0</v>
      </c>
      <c r="Q301" s="12" t="str">
        <f aca="false">IF(P301=1,SUM(F301:M301)+N301,"")</f>
        <v/>
      </c>
      <c r="R301" s="38" t="str">
        <f aca="false">IF(AND(P301=1,ISNUMBER(E301)),Q301-E301,"")</f>
        <v/>
      </c>
      <c r="S301" s="31" t="n">
        <v>0</v>
      </c>
      <c r="T301" s="27" t="s">
        <v>364</v>
      </c>
    </row>
    <row r="302" customFormat="false" ht="15" hidden="false" customHeight="false" outlineLevel="0" collapsed="false">
      <c r="A302" s="31" t="n">
        <v>2025</v>
      </c>
      <c r="B302" s="31"/>
      <c r="C302" s="27" t="s">
        <v>221</v>
      </c>
      <c r="D302" s="27" t="s">
        <v>368</v>
      </c>
      <c r="E302" s="31" t="n">
        <v>20</v>
      </c>
      <c r="F302" s="31"/>
      <c r="G302" s="31" t="n">
        <v>20</v>
      </c>
      <c r="H302" s="31"/>
      <c r="I302" s="31"/>
      <c r="J302" s="31"/>
      <c r="K302" s="31"/>
      <c r="L302" s="31"/>
      <c r="M302" s="31"/>
      <c r="N302" s="31"/>
      <c r="O302" s="31"/>
      <c r="P302" s="31" t="n">
        <v>0</v>
      </c>
      <c r="Q302" s="12" t="str">
        <f aca="false">IF(P302=1,SUM(F302:M302)+N302,"")</f>
        <v/>
      </c>
      <c r="R302" s="38" t="str">
        <f aca="false">IF(AND(P302=1,ISNUMBER(E302)),Q302-E302,"")</f>
        <v/>
      </c>
      <c r="S302" s="31" t="n">
        <v>0</v>
      </c>
      <c r="T302" s="27" t="s">
        <v>364</v>
      </c>
    </row>
    <row r="303" customFormat="false" ht="15" hidden="false" customHeight="false" outlineLevel="0" collapsed="false">
      <c r="A303" s="31" t="n">
        <v>2025</v>
      </c>
      <c r="B303" s="31"/>
      <c r="C303" s="27" t="s">
        <v>242</v>
      </c>
      <c r="D303" s="27" t="s">
        <v>368</v>
      </c>
      <c r="E303" s="31" t="n">
        <v>14.3</v>
      </c>
      <c r="F303" s="31"/>
      <c r="G303" s="31" t="n">
        <v>14.3</v>
      </c>
      <c r="H303" s="31"/>
      <c r="I303" s="31"/>
      <c r="J303" s="31"/>
      <c r="K303" s="31"/>
      <c r="L303" s="31"/>
      <c r="M303" s="31"/>
      <c r="N303" s="31"/>
      <c r="O303" s="31"/>
      <c r="P303" s="31" t="n">
        <v>0</v>
      </c>
      <c r="Q303" s="12" t="str">
        <f aca="false">IF(P303=1,SUM(F303:M303)+N303,"")</f>
        <v/>
      </c>
      <c r="R303" s="38" t="str">
        <f aca="false">IF(AND(P303=1,ISNUMBER(E303)),Q303-E303,"")</f>
        <v/>
      </c>
      <c r="S303" s="31" t="n">
        <v>0</v>
      </c>
      <c r="T303" s="27" t="s">
        <v>364</v>
      </c>
    </row>
    <row r="304" customFormat="false" ht="15" hidden="false" customHeight="false" outlineLevel="0" collapsed="false">
      <c r="A304" s="31" t="n">
        <v>2025</v>
      </c>
      <c r="B304" s="31"/>
      <c r="C304" s="27" t="s">
        <v>330</v>
      </c>
      <c r="D304" s="27" t="s">
        <v>378</v>
      </c>
      <c r="E304" s="31" t="n">
        <v>20</v>
      </c>
      <c r="F304" s="31" t="n">
        <v>40.89</v>
      </c>
      <c r="G304" s="31" t="n">
        <v>19.3</v>
      </c>
      <c r="H304" s="31" t="n">
        <v>50</v>
      </c>
      <c r="I304" s="31"/>
      <c r="J304" s="31"/>
      <c r="K304" s="31"/>
      <c r="L304" s="31"/>
      <c r="M304" s="31"/>
      <c r="N304" s="31" t="n">
        <v>-120</v>
      </c>
      <c r="O304" s="31"/>
      <c r="P304" s="31" t="n">
        <v>0</v>
      </c>
      <c r="Q304" s="12" t="str">
        <f aca="false">IF(P304=1,SUM(F304:M304)+N304,"")</f>
        <v/>
      </c>
      <c r="R304" s="38" t="str">
        <f aca="false">IF(AND(P304=1,ISNUMBER(E304)),Q304-E304,"")</f>
        <v/>
      </c>
      <c r="S304" s="31" t="n">
        <v>0</v>
      </c>
      <c r="T304" s="27" t="s">
        <v>364</v>
      </c>
    </row>
    <row r="305" customFormat="false" ht="15" hidden="false" customHeight="false" outlineLevel="0" collapsed="false">
      <c r="A305" s="31" t="n">
        <v>2025</v>
      </c>
      <c r="B305" s="31"/>
      <c r="C305" s="27" t="s">
        <v>229</v>
      </c>
      <c r="D305" s="27" t="s">
        <v>368</v>
      </c>
      <c r="E305" s="31" t="n">
        <v>20</v>
      </c>
      <c r="F305" s="31"/>
      <c r="G305" s="31" t="n">
        <v>20</v>
      </c>
      <c r="H305" s="31"/>
      <c r="I305" s="31"/>
      <c r="J305" s="31"/>
      <c r="K305" s="31"/>
      <c r="L305" s="31"/>
      <c r="M305" s="31"/>
      <c r="N305" s="31"/>
      <c r="O305" s="31"/>
      <c r="P305" s="31" t="n">
        <v>0</v>
      </c>
      <c r="Q305" s="12" t="str">
        <f aca="false">IF(P305=1,SUM(F305:M305)+N305,"")</f>
        <v/>
      </c>
      <c r="R305" s="38" t="str">
        <f aca="false">IF(AND(P305=1,ISNUMBER(E305)),Q305-E305,"")</f>
        <v/>
      </c>
      <c r="S305" s="31" t="n">
        <v>0</v>
      </c>
      <c r="T305" s="27" t="s">
        <v>364</v>
      </c>
    </row>
    <row r="306" customFormat="false" ht="15" hidden="false" customHeight="false" outlineLevel="0" collapsed="false">
      <c r="A306" s="31" t="n">
        <v>2025</v>
      </c>
      <c r="B306" s="31"/>
      <c r="C306" s="27" t="s">
        <v>167</v>
      </c>
      <c r="D306" s="27" t="s">
        <v>368</v>
      </c>
      <c r="E306" s="31" t="n">
        <v>67.2</v>
      </c>
      <c r="F306" s="31"/>
      <c r="G306" s="31" t="n">
        <v>67.2</v>
      </c>
      <c r="H306" s="31"/>
      <c r="I306" s="31"/>
      <c r="J306" s="31"/>
      <c r="K306" s="31"/>
      <c r="L306" s="31"/>
      <c r="M306" s="31"/>
      <c r="N306" s="31"/>
      <c r="O306" s="31"/>
      <c r="P306" s="31" t="n">
        <v>0</v>
      </c>
      <c r="Q306" s="12" t="str">
        <f aca="false">IF(P306=1,SUM(F306:M306)+N306,"")</f>
        <v/>
      </c>
      <c r="R306" s="38" t="str">
        <f aca="false">IF(AND(P306=1,ISNUMBER(E306)),Q306-E306,"")</f>
        <v/>
      </c>
      <c r="S306" s="31" t="n">
        <v>0</v>
      </c>
      <c r="T306" s="27" t="s">
        <v>364</v>
      </c>
    </row>
    <row r="307" customFormat="false" ht="15" hidden="false" customHeight="false" outlineLevel="0" collapsed="false">
      <c r="A307" s="31" t="n">
        <v>2025</v>
      </c>
      <c r="B307" s="31"/>
      <c r="C307" s="27" t="s">
        <v>373</v>
      </c>
      <c r="D307" s="27" t="s">
        <v>368</v>
      </c>
      <c r="E307" s="31" t="n">
        <v>17.4</v>
      </c>
      <c r="F307" s="31"/>
      <c r="G307" s="31" t="n">
        <v>17.4</v>
      </c>
      <c r="H307" s="31"/>
      <c r="I307" s="31"/>
      <c r="J307" s="31"/>
      <c r="K307" s="31"/>
      <c r="L307" s="31"/>
      <c r="M307" s="31"/>
      <c r="N307" s="31"/>
      <c r="O307" s="31"/>
      <c r="P307" s="31" t="n">
        <v>0</v>
      </c>
      <c r="Q307" s="12" t="str">
        <f aca="false">IF(P307=1,SUM(F307:M307)+N307,"")</f>
        <v/>
      </c>
      <c r="R307" s="38" t="str">
        <f aca="false">IF(AND(P307=1,ISNUMBER(E307)),Q307-E307,"")</f>
        <v/>
      </c>
      <c r="S307" s="31" t="n">
        <v>0</v>
      </c>
      <c r="T307" s="27" t="s">
        <v>364</v>
      </c>
    </row>
    <row r="308" customFormat="false" ht="15" hidden="false" customHeight="false" outlineLevel="0" collapsed="false">
      <c r="A308" s="31" t="n">
        <v>2025</v>
      </c>
      <c r="B308" s="31"/>
      <c r="C308" s="27" t="s">
        <v>254</v>
      </c>
      <c r="D308" s="27" t="s">
        <v>368</v>
      </c>
      <c r="E308" s="31" t="n">
        <v>20</v>
      </c>
      <c r="F308" s="31"/>
      <c r="G308" s="31" t="n">
        <v>20</v>
      </c>
      <c r="H308" s="31"/>
      <c r="I308" s="31"/>
      <c r="J308" s="31"/>
      <c r="K308" s="31"/>
      <c r="L308" s="31"/>
      <c r="M308" s="31"/>
      <c r="N308" s="31"/>
      <c r="O308" s="31"/>
      <c r="P308" s="31" t="n">
        <v>0</v>
      </c>
      <c r="Q308" s="12" t="str">
        <f aca="false">IF(P308=1,SUM(F308:M308)+N308,"")</f>
        <v/>
      </c>
      <c r="R308" s="38" t="str">
        <f aca="false">IF(AND(P308=1,ISNUMBER(E308)),Q308-E308,"")</f>
        <v/>
      </c>
      <c r="S308" s="31" t="n">
        <v>0</v>
      </c>
      <c r="T308" s="27" t="s">
        <v>364</v>
      </c>
    </row>
    <row r="309" customFormat="false" ht="15" hidden="false" customHeight="false" outlineLevel="0" collapsed="false">
      <c r="A309" s="31" t="n">
        <v>2025</v>
      </c>
      <c r="B309" s="31"/>
      <c r="C309" s="27" t="s">
        <v>383</v>
      </c>
      <c r="D309" s="27" t="s">
        <v>368</v>
      </c>
      <c r="E309" s="31" t="n">
        <v>15.8</v>
      </c>
      <c r="F309" s="31"/>
      <c r="G309" s="31" t="n">
        <v>15.8</v>
      </c>
      <c r="H309" s="31"/>
      <c r="I309" s="31"/>
      <c r="J309" s="31"/>
      <c r="K309" s="31"/>
      <c r="L309" s="31"/>
      <c r="M309" s="31"/>
      <c r="N309" s="31"/>
      <c r="O309" s="31"/>
      <c r="P309" s="31" t="n">
        <v>0</v>
      </c>
      <c r="Q309" s="12" t="str">
        <f aca="false">IF(P309=1,SUM(F309:M309)+N309,"")</f>
        <v/>
      </c>
      <c r="R309" s="38" t="str">
        <f aca="false">IF(AND(P309=1,ISNUMBER(E309)),Q309-E309,"")</f>
        <v/>
      </c>
      <c r="S309" s="31" t="n">
        <v>0</v>
      </c>
      <c r="T309" s="27" t="s">
        <v>364</v>
      </c>
    </row>
    <row r="310" customFormat="false" ht="15" hidden="false" customHeight="false" outlineLevel="0" collapsed="false">
      <c r="A310" s="31" t="n">
        <v>2025</v>
      </c>
      <c r="B310" s="31"/>
      <c r="C310" s="27" t="s">
        <v>384</v>
      </c>
      <c r="D310" s="27" t="s">
        <v>368</v>
      </c>
      <c r="E310" s="31" t="n">
        <v>20</v>
      </c>
      <c r="F310" s="31"/>
      <c r="G310" s="31" t="n">
        <v>20</v>
      </c>
      <c r="H310" s="31"/>
      <c r="I310" s="31"/>
      <c r="J310" s="31"/>
      <c r="K310" s="31"/>
      <c r="L310" s="31"/>
      <c r="M310" s="31"/>
      <c r="N310" s="31"/>
      <c r="O310" s="31"/>
      <c r="P310" s="31" t="n">
        <v>0</v>
      </c>
      <c r="Q310" s="12" t="str">
        <f aca="false">IF(P310=1,SUM(F310:M310)+N310,"")</f>
        <v/>
      </c>
      <c r="R310" s="38" t="str">
        <f aca="false">IF(AND(P310=1,ISNUMBER(E310)),Q310-E310,"")</f>
        <v/>
      </c>
      <c r="S310" s="31" t="n">
        <v>0</v>
      </c>
      <c r="T310" s="27" t="s">
        <v>364</v>
      </c>
    </row>
    <row r="311" customFormat="false" ht="15" hidden="false" customHeight="false" outlineLevel="0" collapsed="false">
      <c r="A311" s="31" t="n">
        <v>2026</v>
      </c>
      <c r="B311" s="31" t="n">
        <v>1</v>
      </c>
      <c r="C311" s="27" t="s">
        <v>36</v>
      </c>
      <c r="D311" s="27" t="s">
        <v>363</v>
      </c>
      <c r="E311" s="31" t="n">
        <v>895.5</v>
      </c>
      <c r="F311" s="31" t="n">
        <v>89.1</v>
      </c>
      <c r="G311" s="31" t="n">
        <v>75</v>
      </c>
      <c r="H311" s="31" t="n">
        <v>134</v>
      </c>
      <c r="I311" s="31" t="n">
        <v>81.8</v>
      </c>
      <c r="J311" s="31" t="n">
        <v>67.7</v>
      </c>
      <c r="K311" s="31" t="n">
        <v>124.4</v>
      </c>
      <c r="L311" s="31" t="n">
        <v>275</v>
      </c>
      <c r="M311" s="31" t="n">
        <v>48.6</v>
      </c>
      <c r="N311" s="31"/>
      <c r="O311" s="31" t="n">
        <v>1</v>
      </c>
      <c r="P311" s="31" t="n">
        <v>1</v>
      </c>
      <c r="Q311" s="12" t="n">
        <f aca="false">IF(P311=1,SUM(F311:M311)+N311,"")</f>
        <v>895.6</v>
      </c>
      <c r="R311" s="38" t="n">
        <f aca="false">IF(AND(P311=1,ISNUMBER(E311)),Q311-E311,"")</f>
        <v>0.100000000000023</v>
      </c>
      <c r="S311" s="31" t="n">
        <v>0</v>
      </c>
      <c r="T311" s="27" t="s">
        <v>385</v>
      </c>
    </row>
    <row r="312" customFormat="false" ht="15" hidden="false" customHeight="false" outlineLevel="0" collapsed="false">
      <c r="A312" s="31" t="n">
        <v>2026</v>
      </c>
      <c r="B312" s="31" t="n">
        <v>2</v>
      </c>
      <c r="C312" s="27" t="s">
        <v>35</v>
      </c>
      <c r="D312" s="27" t="s">
        <v>363</v>
      </c>
      <c r="E312" s="31" t="n">
        <v>856.7</v>
      </c>
      <c r="F312" s="31" t="n">
        <v>78.4</v>
      </c>
      <c r="G312" s="31" t="n">
        <v>73.4</v>
      </c>
      <c r="H312" s="31" t="n">
        <v>141</v>
      </c>
      <c r="I312" s="31" t="n">
        <v>95.1</v>
      </c>
      <c r="J312" s="31" t="n">
        <v>75</v>
      </c>
      <c r="K312" s="31" t="n">
        <v>125</v>
      </c>
      <c r="L312" s="31" t="n">
        <v>216.5</v>
      </c>
      <c r="M312" s="31" t="n">
        <v>52.3</v>
      </c>
      <c r="N312" s="31"/>
      <c r="O312" s="31" t="n">
        <v>8</v>
      </c>
      <c r="P312" s="31" t="n">
        <v>1</v>
      </c>
      <c r="Q312" s="12" t="n">
        <f aca="false">IF(P312=1,SUM(F312:M312)+N312,"")</f>
        <v>856.7</v>
      </c>
      <c r="R312" s="38" t="n">
        <f aca="false">IF(AND(P312=1,ISNUMBER(E312)),Q312-E312,"")</f>
        <v>0</v>
      </c>
      <c r="S312" s="31" t="n">
        <v>0</v>
      </c>
      <c r="T312" s="27" t="s">
        <v>385</v>
      </c>
    </row>
    <row r="313" customFormat="false" ht="15" hidden="false" customHeight="false" outlineLevel="0" collapsed="false">
      <c r="A313" s="31" t="n">
        <v>2026</v>
      </c>
      <c r="B313" s="31" t="n">
        <v>3</v>
      </c>
      <c r="C313" s="27" t="s">
        <v>153</v>
      </c>
      <c r="D313" s="27" t="s">
        <v>363</v>
      </c>
      <c r="E313" s="31" t="n">
        <v>807.2</v>
      </c>
      <c r="F313" s="31" t="n">
        <v>86.5</v>
      </c>
      <c r="G313" s="31" t="n">
        <v>17.6</v>
      </c>
      <c r="H313" s="31" t="n">
        <v>140</v>
      </c>
      <c r="I313" s="31" t="n">
        <v>83.4</v>
      </c>
      <c r="J313" s="31" t="n">
        <v>56.1</v>
      </c>
      <c r="K313" s="31" t="n">
        <v>117</v>
      </c>
      <c r="L313" s="31" t="n">
        <v>206.5</v>
      </c>
      <c r="M313" s="31" t="n">
        <v>100</v>
      </c>
      <c r="N313" s="31"/>
      <c r="O313" s="31" t="n">
        <v>6</v>
      </c>
      <c r="P313" s="31" t="n">
        <v>1</v>
      </c>
      <c r="Q313" s="12" t="n">
        <f aca="false">IF(P313=1,SUM(F313:M313)+N313,"")</f>
        <v>807.1</v>
      </c>
      <c r="R313" s="38" t="n">
        <f aca="false">IF(AND(P313=1,ISNUMBER(E313)),Q313-E313,"")</f>
        <v>-0.100000000000023</v>
      </c>
      <c r="S313" s="31" t="n">
        <v>0</v>
      </c>
      <c r="T313" s="27" t="s">
        <v>385</v>
      </c>
    </row>
    <row r="314" customFormat="false" ht="15" hidden="false" customHeight="false" outlineLevel="0" collapsed="false">
      <c r="A314" s="16" t="n">
        <v>2026</v>
      </c>
      <c r="B314" s="16" t="n">
        <v>4</v>
      </c>
      <c r="C314" s="36" t="s">
        <v>148</v>
      </c>
      <c r="D314" s="36" t="s">
        <v>363</v>
      </c>
      <c r="E314" s="16" t="n">
        <v>756.9</v>
      </c>
      <c r="F314" s="16" t="n">
        <v>98</v>
      </c>
      <c r="G314" s="16" t="n">
        <v>30.2</v>
      </c>
      <c r="H314" s="16" t="n">
        <v>143</v>
      </c>
      <c r="I314" s="16" t="n">
        <v>93.7</v>
      </c>
      <c r="J314" s="16" t="n">
        <v>55</v>
      </c>
      <c r="K314" s="16" t="n">
        <v>109.4</v>
      </c>
      <c r="L314" s="16" t="n">
        <v>186.2</v>
      </c>
      <c r="M314" s="16" t="n">
        <v>41.4</v>
      </c>
      <c r="N314" s="16"/>
      <c r="O314" s="16" t="n">
        <v>46</v>
      </c>
      <c r="P314" s="16" t="n">
        <v>1</v>
      </c>
      <c r="Q314" s="19" t="n">
        <f aca="false">IF(P314=1,SUM(F314:M314)+N314,"")</f>
        <v>756.9</v>
      </c>
      <c r="R314" s="39" t="n">
        <f aca="false">IF(AND(P314=1,ISNUMBER(E314)),Q314-E314,"")</f>
        <v>0</v>
      </c>
      <c r="S314" s="45" t="n">
        <v>1</v>
      </c>
      <c r="T314" s="46" t="s">
        <v>385</v>
      </c>
    </row>
    <row r="315" customFormat="false" ht="15" hidden="false" customHeight="false" outlineLevel="0" collapsed="false">
      <c r="A315" s="31" t="n">
        <v>2026</v>
      </c>
      <c r="B315" s="31" t="n">
        <v>5</v>
      </c>
      <c r="C315" s="27" t="s">
        <v>155</v>
      </c>
      <c r="D315" s="27" t="s">
        <v>363</v>
      </c>
      <c r="E315" s="31" t="n">
        <v>756.8</v>
      </c>
      <c r="F315" s="31" t="n">
        <v>91.8</v>
      </c>
      <c r="G315" s="31" t="n">
        <v>70.6</v>
      </c>
      <c r="H315" s="31" t="n">
        <v>90</v>
      </c>
      <c r="I315" s="31" t="n">
        <v>52.9</v>
      </c>
      <c r="J315" s="31" t="n">
        <v>65.1</v>
      </c>
      <c r="K315" s="31" t="n">
        <v>118.2</v>
      </c>
      <c r="L315" s="31" t="n">
        <v>202.2</v>
      </c>
      <c r="M315" s="31" t="n">
        <v>66.1</v>
      </c>
      <c r="N315" s="31"/>
      <c r="O315" s="31" t="n">
        <v>103</v>
      </c>
      <c r="P315" s="31" t="n">
        <v>1</v>
      </c>
      <c r="Q315" s="12" t="n">
        <f aca="false">IF(P315=1,SUM(F315:M315)+N315,"")</f>
        <v>756.9</v>
      </c>
      <c r="R315" s="38" t="n">
        <f aca="false">IF(AND(P315=1,ISNUMBER(E315)),Q315-E315,"")</f>
        <v>0.100000000000023</v>
      </c>
      <c r="S315" s="31" t="n">
        <v>0</v>
      </c>
      <c r="T315" s="27" t="s">
        <v>385</v>
      </c>
    </row>
    <row r="316" customFormat="false" ht="15" hidden="false" customHeight="false" outlineLevel="0" collapsed="false">
      <c r="A316" s="31" t="n">
        <v>2026</v>
      </c>
      <c r="B316" s="31" t="n">
        <v>6</v>
      </c>
      <c r="C316" s="27" t="s">
        <v>152</v>
      </c>
      <c r="D316" s="27" t="s">
        <v>363</v>
      </c>
      <c r="E316" s="31" t="n">
        <v>743.9</v>
      </c>
      <c r="F316" s="31" t="n">
        <v>84.2</v>
      </c>
      <c r="G316" s="31" t="n">
        <v>15</v>
      </c>
      <c r="H316" s="31" t="n">
        <v>150</v>
      </c>
      <c r="I316" s="31" t="n">
        <v>100</v>
      </c>
      <c r="J316" s="31" t="n">
        <v>56.6</v>
      </c>
      <c r="K316" s="31" t="n">
        <v>121.6</v>
      </c>
      <c r="L316" s="31" t="n">
        <v>158.1</v>
      </c>
      <c r="M316" s="31" t="n">
        <v>58.4</v>
      </c>
      <c r="N316" s="31"/>
      <c r="O316" s="31" t="n">
        <v>38</v>
      </c>
      <c r="P316" s="31" t="n">
        <v>1</v>
      </c>
      <c r="Q316" s="12" t="n">
        <f aca="false">IF(P316=1,SUM(F316:M316)+N316,"")</f>
        <v>743.9</v>
      </c>
      <c r="R316" s="38" t="n">
        <f aca="false">IF(AND(P316=1,ISNUMBER(E316)),Q316-E316,"")</f>
        <v>0</v>
      </c>
      <c r="S316" s="31" t="n">
        <v>0</v>
      </c>
      <c r="T316" s="27" t="s">
        <v>385</v>
      </c>
    </row>
    <row r="317" customFormat="false" ht="15" hidden="false" customHeight="false" outlineLevel="0" collapsed="false">
      <c r="A317" s="31" t="n">
        <v>2026</v>
      </c>
      <c r="B317" s="31" t="n">
        <v>7</v>
      </c>
      <c r="C317" s="27" t="s">
        <v>163</v>
      </c>
      <c r="D317" s="27" t="s">
        <v>363</v>
      </c>
      <c r="E317" s="31" t="n">
        <v>717.5</v>
      </c>
      <c r="F317" s="31" t="n">
        <v>84.1</v>
      </c>
      <c r="G317" s="31" t="n">
        <v>37.4</v>
      </c>
      <c r="H317" s="31" t="n">
        <v>120</v>
      </c>
      <c r="I317" s="31" t="n">
        <v>45.8</v>
      </c>
      <c r="J317" s="31" t="n">
        <v>45.5</v>
      </c>
      <c r="K317" s="31" t="n">
        <v>101.6</v>
      </c>
      <c r="L317" s="31" t="n">
        <v>227.3</v>
      </c>
      <c r="M317" s="31" t="n">
        <v>55.8</v>
      </c>
      <c r="N317" s="31"/>
      <c r="O317" s="31" t="n">
        <v>62</v>
      </c>
      <c r="P317" s="31" t="n">
        <v>1</v>
      </c>
      <c r="Q317" s="12" t="n">
        <f aca="false">IF(P317=1,SUM(F317:M317)+N317,"")</f>
        <v>717.5</v>
      </c>
      <c r="R317" s="38" t="n">
        <f aca="false">IF(AND(P317=1,ISNUMBER(E317)),Q317-E317,"")</f>
        <v>0</v>
      </c>
      <c r="S317" s="31" t="n">
        <v>0</v>
      </c>
      <c r="T317" s="27" t="s">
        <v>385</v>
      </c>
    </row>
    <row r="318" customFormat="false" ht="15" hidden="false" customHeight="false" outlineLevel="0" collapsed="false">
      <c r="A318" s="31" t="n">
        <v>2026</v>
      </c>
      <c r="B318" s="31" t="n">
        <v>8</v>
      </c>
      <c r="C318" s="27" t="s">
        <v>165</v>
      </c>
      <c r="D318" s="27" t="s">
        <v>363</v>
      </c>
      <c r="E318" s="31" t="n">
        <v>696</v>
      </c>
      <c r="F318" s="31" t="n">
        <v>63.4</v>
      </c>
      <c r="G318" s="31" t="n">
        <v>33.7</v>
      </c>
      <c r="H318" s="31" t="n">
        <v>132</v>
      </c>
      <c r="I318" s="31" t="n">
        <v>47.1</v>
      </c>
      <c r="J318" s="31" t="n">
        <v>52.6</v>
      </c>
      <c r="K318" s="31" t="n">
        <v>106.1</v>
      </c>
      <c r="L318" s="31" t="n">
        <v>218.1</v>
      </c>
      <c r="M318" s="31" t="n">
        <v>43</v>
      </c>
      <c r="N318" s="31"/>
      <c r="O318" s="31" t="n">
        <v>30</v>
      </c>
      <c r="P318" s="31" t="n">
        <v>1</v>
      </c>
      <c r="Q318" s="12" t="n">
        <f aca="false">IF(P318=1,SUM(F318:M318)+N318,"")</f>
        <v>696</v>
      </c>
      <c r="R318" s="38" t="n">
        <f aca="false">IF(AND(P318=1,ISNUMBER(E318)),Q318-E318,"")</f>
        <v>0</v>
      </c>
      <c r="S318" s="31" t="n">
        <v>0</v>
      </c>
      <c r="T318" s="27" t="s">
        <v>385</v>
      </c>
    </row>
    <row r="319" customFormat="false" ht="15" hidden="false" customHeight="false" outlineLevel="0" collapsed="false">
      <c r="A319" s="31" t="n">
        <v>2026</v>
      </c>
      <c r="B319" s="31" t="n">
        <v>9</v>
      </c>
      <c r="C319" s="27" t="s">
        <v>158</v>
      </c>
      <c r="D319" s="27" t="s">
        <v>363</v>
      </c>
      <c r="E319" s="31" t="n">
        <v>681.3</v>
      </c>
      <c r="F319" s="31" t="n">
        <v>83.1</v>
      </c>
      <c r="G319" s="31" t="n">
        <v>19.1</v>
      </c>
      <c r="H319" s="31" t="n">
        <v>138</v>
      </c>
      <c r="I319" s="31" t="n">
        <v>89.4</v>
      </c>
      <c r="J319" s="31" t="n">
        <v>24.9</v>
      </c>
      <c r="K319" s="31" t="n">
        <v>97.7</v>
      </c>
      <c r="L319" s="31" t="n">
        <v>186.8</v>
      </c>
      <c r="M319" s="31" t="n">
        <v>42.2</v>
      </c>
      <c r="N319" s="31"/>
      <c r="O319" s="31" t="n">
        <v>19</v>
      </c>
      <c r="P319" s="31" t="n">
        <v>1</v>
      </c>
      <c r="Q319" s="12" t="n">
        <f aca="false">IF(P319=1,SUM(F319:M319)+N319,"")</f>
        <v>681.2</v>
      </c>
      <c r="R319" s="38" t="n">
        <f aca="false">IF(AND(P319=1,ISNUMBER(E319)),Q319-E319,"")</f>
        <v>-0.0999999999999091</v>
      </c>
      <c r="S319" s="31" t="n">
        <v>0</v>
      </c>
      <c r="T319" s="27" t="s">
        <v>385</v>
      </c>
    </row>
    <row r="320" customFormat="false" ht="15" hidden="false" customHeight="false" outlineLevel="0" collapsed="false">
      <c r="A320" s="31" t="n">
        <v>2026</v>
      </c>
      <c r="B320" s="31" t="n">
        <v>10</v>
      </c>
      <c r="C320" s="27" t="s">
        <v>147</v>
      </c>
      <c r="D320" s="27" t="s">
        <v>363</v>
      </c>
      <c r="E320" s="31" t="n">
        <v>671.3</v>
      </c>
      <c r="F320" s="31" t="n">
        <v>85</v>
      </c>
      <c r="G320" s="31" t="n">
        <v>70.7</v>
      </c>
      <c r="H320" s="31" t="n">
        <v>115</v>
      </c>
      <c r="I320" s="31" t="n">
        <v>57.3</v>
      </c>
      <c r="J320" s="31" t="n">
        <v>50.5</v>
      </c>
      <c r="K320" s="31" t="n">
        <v>101.4</v>
      </c>
      <c r="L320" s="31" t="n">
        <v>151.3</v>
      </c>
      <c r="M320" s="31" t="n">
        <v>40.1</v>
      </c>
      <c r="N320" s="31"/>
      <c r="O320" s="31" t="n">
        <v>65</v>
      </c>
      <c r="P320" s="31" t="n">
        <v>1</v>
      </c>
      <c r="Q320" s="12" t="n">
        <f aca="false">IF(P320=1,SUM(F320:M320)+N320,"")</f>
        <v>671.3</v>
      </c>
      <c r="R320" s="38" t="n">
        <f aca="false">IF(AND(P320=1,ISNUMBER(E320)),Q320-E320,"")</f>
        <v>0</v>
      </c>
      <c r="S320" s="31" t="n">
        <v>0</v>
      </c>
      <c r="T320" s="27" t="s">
        <v>385</v>
      </c>
    </row>
    <row r="321" customFormat="false" ht="15" hidden="false" customHeight="false" outlineLevel="0" collapsed="false">
      <c r="A321" s="31" t="n">
        <v>2026</v>
      </c>
      <c r="B321" s="31" t="n">
        <v>11</v>
      </c>
      <c r="C321" s="27" t="s">
        <v>34</v>
      </c>
      <c r="D321" s="27" t="s">
        <v>363</v>
      </c>
      <c r="E321" s="31" t="n">
        <v>625.8</v>
      </c>
      <c r="F321" s="31" t="n">
        <v>77.8</v>
      </c>
      <c r="G321" s="31" t="n">
        <v>68</v>
      </c>
      <c r="H321" s="31" t="n">
        <v>138</v>
      </c>
      <c r="I321" s="31" t="n">
        <v>98.6</v>
      </c>
      <c r="J321" s="31" t="n">
        <v>56.3</v>
      </c>
      <c r="K321" s="31" t="n">
        <v>115</v>
      </c>
      <c r="L321" s="31" t="n">
        <v>15</v>
      </c>
      <c r="M321" s="31" t="n">
        <v>57.1</v>
      </c>
      <c r="N321" s="31"/>
      <c r="O321" s="31" t="n">
        <v>99</v>
      </c>
      <c r="P321" s="31" t="n">
        <v>1</v>
      </c>
      <c r="Q321" s="12" t="n">
        <f aca="false">IF(P321=1,SUM(F321:M321)+N321,"")</f>
        <v>625.8</v>
      </c>
      <c r="R321" s="38" t="n">
        <f aca="false">IF(AND(P321=1,ISNUMBER(E321)),Q321-E321,"")</f>
        <v>0</v>
      </c>
      <c r="S321" s="31" t="n">
        <v>0</v>
      </c>
      <c r="T321" s="27" t="s">
        <v>385</v>
      </c>
    </row>
    <row r="322" customFormat="false" ht="15" hidden="false" customHeight="false" outlineLevel="0" collapsed="false">
      <c r="A322" s="31" t="n">
        <v>2026</v>
      </c>
      <c r="B322" s="31" t="n">
        <v>12</v>
      </c>
      <c r="C322" s="27" t="s">
        <v>181</v>
      </c>
      <c r="D322" s="27" t="s">
        <v>363</v>
      </c>
      <c r="E322" s="31" t="n">
        <v>609.7</v>
      </c>
      <c r="F322" s="31" t="n">
        <v>62.5</v>
      </c>
      <c r="G322" s="31" t="n">
        <v>19.5</v>
      </c>
      <c r="H322" s="31" t="n">
        <v>115</v>
      </c>
      <c r="I322" s="31" t="n">
        <v>66.9</v>
      </c>
      <c r="J322" s="31" t="n">
        <v>43.9</v>
      </c>
      <c r="K322" s="31" t="n">
        <v>118.8</v>
      </c>
      <c r="L322" s="31" t="n">
        <v>154.9</v>
      </c>
      <c r="M322" s="31" t="n">
        <v>28.2</v>
      </c>
      <c r="N322" s="31"/>
      <c r="O322" s="31" t="n">
        <v>98</v>
      </c>
      <c r="P322" s="31" t="n">
        <v>1</v>
      </c>
      <c r="Q322" s="12" t="n">
        <f aca="false">IF(P322=1,SUM(F322:M322)+N322,"")</f>
        <v>609.7</v>
      </c>
      <c r="R322" s="38" t="n">
        <f aca="false">IF(AND(P322=1,ISNUMBER(E322)),Q322-E322,"")</f>
        <v>0</v>
      </c>
      <c r="S322" s="31" t="n">
        <v>0</v>
      </c>
      <c r="T322" s="27" t="s">
        <v>385</v>
      </c>
    </row>
    <row r="323" customFormat="false" ht="15" hidden="false" customHeight="false" outlineLevel="0" collapsed="false">
      <c r="A323" s="31" t="n">
        <v>2026</v>
      </c>
      <c r="B323" s="31" t="n">
        <v>13</v>
      </c>
      <c r="C323" s="27" t="s">
        <v>182</v>
      </c>
      <c r="D323" s="27" t="s">
        <v>363</v>
      </c>
      <c r="E323" s="31" t="n">
        <v>576.1</v>
      </c>
      <c r="F323" s="31" t="n">
        <v>68.5</v>
      </c>
      <c r="G323" s="31" t="n">
        <v>30.1</v>
      </c>
      <c r="H323" s="31" t="n">
        <v>90</v>
      </c>
      <c r="I323" s="31" t="n">
        <v>93.8</v>
      </c>
      <c r="J323" s="31" t="n">
        <v>42.1</v>
      </c>
      <c r="K323" s="31" t="n">
        <v>49.3</v>
      </c>
      <c r="L323" s="31" t="n">
        <v>202.3</v>
      </c>
      <c r="M323" s="31"/>
      <c r="N323" s="31"/>
      <c r="O323" s="31" t="n">
        <v>14</v>
      </c>
      <c r="P323" s="31" t="n">
        <v>1</v>
      </c>
      <c r="Q323" s="12" t="n">
        <f aca="false">IF(P323=1,SUM(F323:M323)+N323,"")</f>
        <v>576.1</v>
      </c>
      <c r="R323" s="38" t="n">
        <f aca="false">IF(AND(P323=1,ISNUMBER(E323)),Q323-E323,"")</f>
        <v>0</v>
      </c>
      <c r="S323" s="31" t="n">
        <v>0</v>
      </c>
      <c r="T323" s="27" t="s">
        <v>385</v>
      </c>
    </row>
    <row r="324" customFormat="false" ht="15" hidden="false" customHeight="false" outlineLevel="0" collapsed="false">
      <c r="A324" s="31" t="n">
        <v>2026</v>
      </c>
      <c r="B324" s="31" t="n">
        <v>14</v>
      </c>
      <c r="C324" s="27" t="s">
        <v>151</v>
      </c>
      <c r="D324" s="27" t="s">
        <v>363</v>
      </c>
      <c r="E324" s="31" t="n">
        <v>562.4</v>
      </c>
      <c r="F324" s="31" t="n">
        <v>89.8</v>
      </c>
      <c r="G324" s="31" t="n">
        <v>52.6</v>
      </c>
      <c r="H324" s="31" t="n">
        <v>146</v>
      </c>
      <c r="I324" s="31" t="n">
        <v>90.8</v>
      </c>
      <c r="J324" s="31" t="n">
        <v>69.4</v>
      </c>
      <c r="K324" s="31" t="n">
        <v>107.8</v>
      </c>
      <c r="L324" s="31" t="n">
        <v>6</v>
      </c>
      <c r="M324" s="31"/>
      <c r="N324" s="31"/>
      <c r="O324" s="31" t="n">
        <v>5</v>
      </c>
      <c r="P324" s="31" t="n">
        <v>1</v>
      </c>
      <c r="Q324" s="12" t="n">
        <f aca="false">IF(P324=1,SUM(F324:M324)+N324,"")</f>
        <v>562.4</v>
      </c>
      <c r="R324" s="38" t="n">
        <f aca="false">IF(AND(P324=1,ISNUMBER(E324)),Q324-E324,"")</f>
        <v>0</v>
      </c>
      <c r="S324" s="31" t="n">
        <v>0</v>
      </c>
      <c r="T324" s="27" t="s">
        <v>385</v>
      </c>
    </row>
    <row r="325" customFormat="false" ht="15" hidden="false" customHeight="false" outlineLevel="0" collapsed="false">
      <c r="A325" s="31" t="n">
        <v>2026</v>
      </c>
      <c r="B325" s="31" t="n">
        <v>15</v>
      </c>
      <c r="C325" s="27" t="s">
        <v>166</v>
      </c>
      <c r="D325" s="27" t="s">
        <v>363</v>
      </c>
      <c r="E325" s="31" t="n">
        <v>543</v>
      </c>
      <c r="F325" s="31" t="n">
        <v>89.7</v>
      </c>
      <c r="G325" s="31" t="n">
        <v>75</v>
      </c>
      <c r="H325" s="31" t="n">
        <v>139</v>
      </c>
      <c r="I325" s="31" t="n">
        <v>61</v>
      </c>
      <c r="J325" s="31" t="n">
        <v>36.5</v>
      </c>
      <c r="K325" s="31" t="n">
        <v>0</v>
      </c>
      <c r="L325" s="31" t="n">
        <v>104.1</v>
      </c>
      <c r="M325" s="31" t="n">
        <v>37.6</v>
      </c>
      <c r="N325" s="31"/>
      <c r="O325" s="31" t="n">
        <v>70</v>
      </c>
      <c r="P325" s="31" t="n">
        <v>1</v>
      </c>
      <c r="Q325" s="12" t="n">
        <f aca="false">IF(P325=1,SUM(F325:M325)+N325,"")</f>
        <v>542.9</v>
      </c>
      <c r="R325" s="38" t="n">
        <f aca="false">IF(AND(P325=1,ISNUMBER(E325)),Q325-E325,"")</f>
        <v>-0.100000000000023</v>
      </c>
      <c r="S325" s="31" t="n">
        <v>0</v>
      </c>
      <c r="T325" s="27" t="s">
        <v>385</v>
      </c>
    </row>
    <row r="326" customFormat="false" ht="15" hidden="false" customHeight="false" outlineLevel="0" collapsed="false">
      <c r="A326" s="31" t="n">
        <v>2026</v>
      </c>
      <c r="B326" s="31" t="n">
        <v>16</v>
      </c>
      <c r="C326" s="27" t="s">
        <v>183</v>
      </c>
      <c r="D326" s="27" t="s">
        <v>363</v>
      </c>
      <c r="E326" s="31" t="n">
        <v>527.8</v>
      </c>
      <c r="F326" s="31" t="n">
        <v>46.6</v>
      </c>
      <c r="G326" s="31" t="n">
        <v>15.5</v>
      </c>
      <c r="H326" s="31" t="n">
        <v>100</v>
      </c>
      <c r="I326" s="31" t="n">
        <v>79.1</v>
      </c>
      <c r="J326" s="31" t="n">
        <v>51.6</v>
      </c>
      <c r="K326" s="31" t="n">
        <v>94.2</v>
      </c>
      <c r="L326" s="31" t="n">
        <v>112.1</v>
      </c>
      <c r="M326" s="31" t="n">
        <v>28.7</v>
      </c>
      <c r="N326" s="31"/>
      <c r="O326" s="31" t="n">
        <v>111</v>
      </c>
      <c r="P326" s="31" t="n">
        <v>1</v>
      </c>
      <c r="Q326" s="12" t="n">
        <f aca="false">IF(P326=1,SUM(F326:M326)+N326,"")</f>
        <v>527.8</v>
      </c>
      <c r="R326" s="38" t="n">
        <f aca="false">IF(AND(P326=1,ISNUMBER(E326)),Q326-E326,"")</f>
        <v>0</v>
      </c>
      <c r="S326" s="31" t="n">
        <v>0</v>
      </c>
      <c r="T326" s="27" t="s">
        <v>385</v>
      </c>
    </row>
    <row r="327" customFormat="false" ht="15" hidden="false" customHeight="false" outlineLevel="0" collapsed="false">
      <c r="A327" s="31" t="n">
        <v>2026</v>
      </c>
      <c r="B327" s="31" t="n">
        <v>17</v>
      </c>
      <c r="C327" s="27" t="s">
        <v>184</v>
      </c>
      <c r="D327" s="27" t="s">
        <v>363</v>
      </c>
      <c r="E327" s="31" t="n">
        <v>508.5</v>
      </c>
      <c r="F327" s="31" t="n">
        <v>90.2</v>
      </c>
      <c r="G327" s="31" t="n">
        <v>18.8</v>
      </c>
      <c r="H327" s="31" t="n">
        <v>65</v>
      </c>
      <c r="I327" s="31" t="n">
        <v>31.4</v>
      </c>
      <c r="J327" s="31" t="n">
        <v>24</v>
      </c>
      <c r="K327" s="31" t="n">
        <v>78.2</v>
      </c>
      <c r="L327" s="31" t="n">
        <v>129.2</v>
      </c>
      <c r="M327" s="31" t="n">
        <v>71.7</v>
      </c>
      <c r="N327" s="31"/>
      <c r="O327" s="31" t="n">
        <v>26</v>
      </c>
      <c r="P327" s="31" t="n">
        <v>1</v>
      </c>
      <c r="Q327" s="12" t="n">
        <f aca="false">IF(P327=1,SUM(F327:M327)+N327,"")</f>
        <v>508.5</v>
      </c>
      <c r="R327" s="38" t="n">
        <f aca="false">IF(AND(P327=1,ISNUMBER(E327)),Q327-E327,"")</f>
        <v>0</v>
      </c>
      <c r="S327" s="31" t="n">
        <v>0</v>
      </c>
      <c r="T327" s="27" t="s">
        <v>385</v>
      </c>
    </row>
    <row r="328" customFormat="false" ht="15" hidden="false" customHeight="false" outlineLevel="0" collapsed="false">
      <c r="A328" s="31" t="n">
        <v>2026</v>
      </c>
      <c r="B328" s="31" t="n">
        <v>18</v>
      </c>
      <c r="C328" s="27" t="s">
        <v>185</v>
      </c>
      <c r="D328" s="27" t="s">
        <v>363</v>
      </c>
      <c r="E328" s="31" t="n">
        <v>491.6</v>
      </c>
      <c r="F328" s="31" t="n">
        <v>69.7</v>
      </c>
      <c r="G328" s="31" t="n">
        <v>16.5</v>
      </c>
      <c r="H328" s="31" t="n">
        <v>65</v>
      </c>
      <c r="I328" s="31" t="n">
        <v>55.6</v>
      </c>
      <c r="J328" s="31" t="n">
        <v>51.8</v>
      </c>
      <c r="K328" s="31" t="n">
        <v>102.2</v>
      </c>
      <c r="L328" s="31" t="n">
        <v>81.5</v>
      </c>
      <c r="M328" s="31" t="n">
        <v>49.3</v>
      </c>
      <c r="N328" s="31"/>
      <c r="O328" s="31" t="n">
        <v>21</v>
      </c>
      <c r="P328" s="31" t="n">
        <v>1</v>
      </c>
      <c r="Q328" s="12" t="n">
        <f aca="false">IF(P328=1,SUM(F328:M328)+N328,"")</f>
        <v>491.6</v>
      </c>
      <c r="R328" s="38" t="n">
        <f aca="false">IF(AND(P328=1,ISNUMBER(E328)),Q328-E328,"")</f>
        <v>0</v>
      </c>
      <c r="S328" s="31" t="n">
        <v>0</v>
      </c>
      <c r="T328" s="27" t="s">
        <v>385</v>
      </c>
    </row>
    <row r="329" customFormat="false" ht="15" hidden="false" customHeight="false" outlineLevel="0" collapsed="false">
      <c r="A329" s="31" t="n">
        <v>2026</v>
      </c>
      <c r="B329" s="31" t="n">
        <v>19</v>
      </c>
      <c r="C329" s="27" t="s">
        <v>186</v>
      </c>
      <c r="D329" s="27" t="s">
        <v>363</v>
      </c>
      <c r="E329" s="31" t="n">
        <v>475.1</v>
      </c>
      <c r="F329" s="31" t="n">
        <v>94.6</v>
      </c>
      <c r="G329" s="31" t="n">
        <v>48.1</v>
      </c>
      <c r="H329" s="31" t="n">
        <v>95</v>
      </c>
      <c r="I329" s="31" t="n">
        <v>47.8</v>
      </c>
      <c r="J329" s="31" t="n">
        <v>45.8</v>
      </c>
      <c r="K329" s="31" t="n">
        <v>81.8</v>
      </c>
      <c r="L329" s="31" t="n">
        <v>24</v>
      </c>
      <c r="M329" s="31" t="n">
        <v>38</v>
      </c>
      <c r="N329" s="31"/>
      <c r="O329" s="31" t="n">
        <v>43</v>
      </c>
      <c r="P329" s="31" t="n">
        <v>1</v>
      </c>
      <c r="Q329" s="12" t="n">
        <f aca="false">IF(P329=1,SUM(F329:M329)+N329,"")</f>
        <v>475.1</v>
      </c>
      <c r="R329" s="38" t="n">
        <f aca="false">IF(AND(P329=1,ISNUMBER(E329)),Q329-E329,"")</f>
        <v>0</v>
      </c>
      <c r="S329" s="31" t="n">
        <v>0</v>
      </c>
      <c r="T329" s="27" t="s">
        <v>385</v>
      </c>
    </row>
    <row r="330" customFormat="false" ht="15" hidden="false" customHeight="false" outlineLevel="0" collapsed="false">
      <c r="A330" s="31" t="n">
        <v>2026</v>
      </c>
      <c r="B330" s="31" t="n">
        <v>20</v>
      </c>
      <c r="C330" s="27" t="s">
        <v>168</v>
      </c>
      <c r="D330" s="27" t="s">
        <v>363</v>
      </c>
      <c r="E330" s="31" t="n">
        <v>462</v>
      </c>
      <c r="F330" s="31" t="n">
        <v>52.3</v>
      </c>
      <c r="G330" s="31" t="n">
        <v>68.5</v>
      </c>
      <c r="H330" s="31" t="n">
        <v>105</v>
      </c>
      <c r="I330" s="31" t="n">
        <v>75.1</v>
      </c>
      <c r="J330" s="31" t="n">
        <v>51.1</v>
      </c>
      <c r="K330" s="31" t="n">
        <v>99.9</v>
      </c>
      <c r="L330" s="31" t="n">
        <v>10</v>
      </c>
      <c r="M330" s="31"/>
      <c r="N330" s="31"/>
      <c r="O330" s="31" t="n">
        <v>9</v>
      </c>
      <c r="P330" s="31" t="n">
        <v>1</v>
      </c>
      <c r="Q330" s="12" t="n">
        <f aca="false">IF(P330=1,SUM(F330:M330)+N330,"")</f>
        <v>461.9</v>
      </c>
      <c r="R330" s="38" t="n">
        <f aca="false">IF(AND(P330=1,ISNUMBER(E330)),Q330-E330,"")</f>
        <v>-0.100000000000023</v>
      </c>
      <c r="S330" s="31" t="n">
        <v>0</v>
      </c>
      <c r="T330" s="27" t="s">
        <v>385</v>
      </c>
    </row>
    <row r="331" customFormat="false" ht="15" hidden="false" customHeight="false" outlineLevel="0" collapsed="false">
      <c r="A331" s="31" t="n">
        <v>2026</v>
      </c>
      <c r="B331" s="31" t="n">
        <v>21</v>
      </c>
      <c r="C331" s="27" t="s">
        <v>187</v>
      </c>
      <c r="D331" s="27" t="s">
        <v>363</v>
      </c>
      <c r="E331" s="31" t="n">
        <v>429.4</v>
      </c>
      <c r="F331" s="31" t="n">
        <v>67.5</v>
      </c>
      <c r="G331" s="31" t="n">
        <v>49.3</v>
      </c>
      <c r="H331" s="31" t="n">
        <v>65</v>
      </c>
      <c r="I331" s="31" t="n">
        <v>4.5</v>
      </c>
      <c r="J331" s="31" t="n">
        <v>21.8</v>
      </c>
      <c r="K331" s="31" t="n">
        <v>64.7</v>
      </c>
      <c r="L331" s="31" t="n">
        <v>67.4</v>
      </c>
      <c r="M331" s="31" t="n">
        <v>89.2</v>
      </c>
      <c r="N331" s="31"/>
      <c r="O331" s="31" t="n">
        <v>86</v>
      </c>
      <c r="P331" s="31" t="n">
        <v>1</v>
      </c>
      <c r="Q331" s="12" t="n">
        <f aca="false">IF(P331=1,SUM(F331:M331)+N331,"")</f>
        <v>429.4</v>
      </c>
      <c r="R331" s="38" t="n">
        <f aca="false">IF(AND(P331=1,ISNUMBER(E331)),Q331-E331,"")</f>
        <v>0</v>
      </c>
      <c r="S331" s="31" t="n">
        <v>0</v>
      </c>
      <c r="T331" s="27" t="s">
        <v>385</v>
      </c>
    </row>
    <row r="332" customFormat="false" ht="15" hidden="false" customHeight="false" outlineLevel="0" collapsed="false">
      <c r="A332" s="31" t="n">
        <v>2026</v>
      </c>
      <c r="B332" s="31" t="n">
        <v>22</v>
      </c>
      <c r="C332" s="27" t="s">
        <v>188</v>
      </c>
      <c r="D332" s="27" t="s">
        <v>363</v>
      </c>
      <c r="E332" s="31" t="n">
        <v>394.3</v>
      </c>
      <c r="F332" s="31" t="n">
        <v>85.2</v>
      </c>
      <c r="G332" s="31" t="n">
        <v>62</v>
      </c>
      <c r="H332" s="31" t="n">
        <v>95</v>
      </c>
      <c r="I332" s="31"/>
      <c r="J332" s="31"/>
      <c r="K332" s="31" t="n">
        <v>6.5</v>
      </c>
      <c r="L332" s="31" t="n">
        <v>111.1</v>
      </c>
      <c r="M332" s="31" t="n">
        <v>34.4</v>
      </c>
      <c r="N332" s="31"/>
      <c r="O332" s="31" t="n">
        <v>112</v>
      </c>
      <c r="P332" s="31" t="n">
        <v>1</v>
      </c>
      <c r="Q332" s="12" t="n">
        <f aca="false">IF(P332=1,SUM(F332:M332)+N332,"")</f>
        <v>394.2</v>
      </c>
      <c r="R332" s="38" t="n">
        <f aca="false">IF(AND(P332=1,ISNUMBER(E332)),Q332-E332,"")</f>
        <v>-0.100000000000023</v>
      </c>
      <c r="S332" s="31" t="n">
        <v>0</v>
      </c>
      <c r="T332" s="27" t="s">
        <v>385</v>
      </c>
    </row>
    <row r="333" customFormat="false" ht="15" hidden="false" customHeight="false" outlineLevel="0" collapsed="false">
      <c r="A333" s="31" t="n">
        <v>2026</v>
      </c>
      <c r="B333" s="31" t="n">
        <v>23</v>
      </c>
      <c r="C333" s="27" t="s">
        <v>149</v>
      </c>
      <c r="D333" s="27" t="s">
        <v>363</v>
      </c>
      <c r="E333" s="31" t="n">
        <v>391.5</v>
      </c>
      <c r="F333" s="31" t="n">
        <v>81.3</v>
      </c>
      <c r="G333" s="31" t="n">
        <v>20</v>
      </c>
      <c r="H333" s="31" t="n">
        <v>115</v>
      </c>
      <c r="I333" s="31"/>
      <c r="J333" s="31" t="n">
        <v>50.9</v>
      </c>
      <c r="K333" s="31" t="n">
        <v>117.4</v>
      </c>
      <c r="L333" s="31" t="n">
        <v>7</v>
      </c>
      <c r="M333" s="31"/>
      <c r="N333" s="31"/>
      <c r="O333" s="31" t="n">
        <v>2</v>
      </c>
      <c r="P333" s="31" t="n">
        <v>1</v>
      </c>
      <c r="Q333" s="12" t="n">
        <f aca="false">IF(P333=1,SUM(F333:M333)+N333,"")</f>
        <v>391.6</v>
      </c>
      <c r="R333" s="38" t="n">
        <f aca="false">IF(AND(P333=1,ISNUMBER(E333)),Q333-E333,"")</f>
        <v>0.100000000000023</v>
      </c>
      <c r="S333" s="31" t="n">
        <v>0</v>
      </c>
      <c r="T333" s="27" t="s">
        <v>385</v>
      </c>
    </row>
    <row r="334" customFormat="false" ht="15" hidden="false" customHeight="false" outlineLevel="0" collapsed="false">
      <c r="A334" s="31" t="n">
        <v>2026</v>
      </c>
      <c r="B334" s="31" t="n">
        <v>24</v>
      </c>
      <c r="C334" s="27" t="s">
        <v>189</v>
      </c>
      <c r="D334" s="27" t="s">
        <v>363</v>
      </c>
      <c r="E334" s="31" t="n">
        <v>370.7</v>
      </c>
      <c r="F334" s="31" t="n">
        <v>63.6</v>
      </c>
      <c r="G334" s="31" t="n">
        <v>37.4</v>
      </c>
      <c r="H334" s="31" t="n">
        <v>100</v>
      </c>
      <c r="I334" s="31" t="n">
        <v>50.4</v>
      </c>
      <c r="J334" s="31" t="n">
        <v>24.2</v>
      </c>
      <c r="K334" s="31" t="n">
        <v>70.2</v>
      </c>
      <c r="L334" s="31" t="n">
        <v>25</v>
      </c>
      <c r="M334" s="31"/>
      <c r="N334" s="31"/>
      <c r="O334" s="31" t="n">
        <v>93</v>
      </c>
      <c r="P334" s="31" t="n">
        <v>1</v>
      </c>
      <c r="Q334" s="12" t="n">
        <f aca="false">IF(P334=1,SUM(F334:M334)+N334,"")</f>
        <v>370.8</v>
      </c>
      <c r="R334" s="38" t="n">
        <f aca="false">IF(AND(P334=1,ISNUMBER(E334)),Q334-E334,"")</f>
        <v>0.100000000000023</v>
      </c>
      <c r="S334" s="31" t="n">
        <v>0</v>
      </c>
      <c r="T334" s="27" t="s">
        <v>385</v>
      </c>
    </row>
    <row r="335" customFormat="false" ht="15" hidden="false" customHeight="false" outlineLevel="0" collapsed="false">
      <c r="A335" s="31" t="n">
        <v>2026</v>
      </c>
      <c r="B335" s="31" t="n">
        <v>25</v>
      </c>
      <c r="C335" s="27" t="s">
        <v>190</v>
      </c>
      <c r="D335" s="27" t="s">
        <v>363</v>
      </c>
      <c r="E335" s="31" t="n">
        <v>364.8</v>
      </c>
      <c r="F335" s="31" t="n">
        <v>69.5</v>
      </c>
      <c r="G335" s="31" t="n">
        <v>18.8</v>
      </c>
      <c r="H335" s="31" t="n">
        <v>100</v>
      </c>
      <c r="I335" s="31" t="n">
        <v>66.5</v>
      </c>
      <c r="J335" s="31" t="n">
        <v>29.6</v>
      </c>
      <c r="K335" s="31" t="n">
        <v>74.4</v>
      </c>
      <c r="L335" s="31" t="n">
        <v>6</v>
      </c>
      <c r="M335" s="31"/>
      <c r="N335" s="31"/>
      <c r="O335" s="31" t="n">
        <v>79</v>
      </c>
      <c r="P335" s="31" t="n">
        <v>1</v>
      </c>
      <c r="Q335" s="12" t="n">
        <f aca="false">IF(P335=1,SUM(F335:M335)+N335,"")</f>
        <v>364.8</v>
      </c>
      <c r="R335" s="38" t="n">
        <f aca="false">IF(AND(P335=1,ISNUMBER(E335)),Q335-E335,"")</f>
        <v>0</v>
      </c>
      <c r="S335" s="31" t="n">
        <v>0</v>
      </c>
      <c r="T335" s="27" t="s">
        <v>385</v>
      </c>
    </row>
    <row r="336" customFormat="false" ht="15" hidden="false" customHeight="false" outlineLevel="0" collapsed="false">
      <c r="A336" s="31" t="n">
        <v>2026</v>
      </c>
      <c r="B336" s="31" t="n">
        <v>26</v>
      </c>
      <c r="C336" s="27" t="s">
        <v>191</v>
      </c>
      <c r="D336" s="27" t="s">
        <v>363</v>
      </c>
      <c r="E336" s="31" t="n">
        <v>358.5</v>
      </c>
      <c r="F336" s="31" t="n">
        <v>77.1</v>
      </c>
      <c r="G336" s="31" t="n">
        <v>46.3</v>
      </c>
      <c r="H336" s="31" t="n">
        <v>105</v>
      </c>
      <c r="I336" s="31" t="n">
        <v>4.5</v>
      </c>
      <c r="J336" s="31" t="n">
        <v>35.3</v>
      </c>
      <c r="K336" s="31" t="n">
        <v>65.3</v>
      </c>
      <c r="L336" s="31" t="n">
        <v>25</v>
      </c>
      <c r="M336" s="31"/>
      <c r="N336" s="31"/>
      <c r="O336" s="31" t="n">
        <v>66</v>
      </c>
      <c r="P336" s="31" t="n">
        <v>1</v>
      </c>
      <c r="Q336" s="12" t="n">
        <f aca="false">IF(P336=1,SUM(F336:M336)+N336,"")</f>
        <v>358.5</v>
      </c>
      <c r="R336" s="38" t="n">
        <f aca="false">IF(AND(P336=1,ISNUMBER(E336)),Q336-E336,"")</f>
        <v>0</v>
      </c>
      <c r="S336" s="31" t="n">
        <v>0</v>
      </c>
      <c r="T336" s="27" t="s">
        <v>385</v>
      </c>
    </row>
    <row r="337" customFormat="false" ht="15" hidden="false" customHeight="false" outlineLevel="0" collapsed="false">
      <c r="A337" s="31" t="n">
        <v>2026</v>
      </c>
      <c r="B337" s="31" t="n">
        <v>27</v>
      </c>
      <c r="C337" s="27" t="s">
        <v>192</v>
      </c>
      <c r="D337" s="27" t="s">
        <v>363</v>
      </c>
      <c r="E337" s="31" t="n">
        <v>324</v>
      </c>
      <c r="F337" s="31" t="n">
        <v>69.5</v>
      </c>
      <c r="G337" s="31" t="n">
        <v>56.6</v>
      </c>
      <c r="H337" s="31" t="n">
        <v>80</v>
      </c>
      <c r="I337" s="31" t="n">
        <v>24.8</v>
      </c>
      <c r="J337" s="31" t="n">
        <v>31.1</v>
      </c>
      <c r="K337" s="31" t="n">
        <v>37.9</v>
      </c>
      <c r="L337" s="31" t="n">
        <v>24</v>
      </c>
      <c r="M337" s="31"/>
      <c r="N337" s="31"/>
      <c r="O337" s="31" t="n">
        <v>35</v>
      </c>
      <c r="P337" s="31" t="n">
        <v>1</v>
      </c>
      <c r="Q337" s="12" t="n">
        <f aca="false">IF(P337=1,SUM(F337:M337)+N337,"")</f>
        <v>323.9</v>
      </c>
      <c r="R337" s="38" t="n">
        <f aca="false">IF(AND(P337=1,ISNUMBER(E337)),Q337-E337,"")</f>
        <v>-0.100000000000023</v>
      </c>
      <c r="S337" s="31" t="n">
        <v>0</v>
      </c>
      <c r="T337" s="27" t="s">
        <v>385</v>
      </c>
    </row>
    <row r="338" customFormat="false" ht="15" hidden="false" customHeight="false" outlineLevel="0" collapsed="false">
      <c r="A338" s="31" t="n">
        <v>2026</v>
      </c>
      <c r="B338" s="31" t="n">
        <v>28</v>
      </c>
      <c r="C338" s="27" t="s">
        <v>193</v>
      </c>
      <c r="D338" s="27" t="s">
        <v>363</v>
      </c>
      <c r="E338" s="31" t="n">
        <v>304</v>
      </c>
      <c r="F338" s="31" t="n">
        <v>56.7</v>
      </c>
      <c r="G338" s="31" t="n">
        <v>55.3</v>
      </c>
      <c r="H338" s="31" t="n">
        <v>120</v>
      </c>
      <c r="I338" s="31"/>
      <c r="J338" s="31" t="n">
        <v>23.6</v>
      </c>
      <c r="K338" s="31" t="n">
        <v>42.5</v>
      </c>
      <c r="L338" s="31" t="n">
        <v>6</v>
      </c>
      <c r="M338" s="31"/>
      <c r="N338" s="31"/>
      <c r="O338" s="31" t="n">
        <v>87</v>
      </c>
      <c r="P338" s="31" t="n">
        <v>1</v>
      </c>
      <c r="Q338" s="12" t="n">
        <f aca="false">IF(P338=1,SUM(F338:M338)+N338,"")</f>
        <v>304.1</v>
      </c>
      <c r="R338" s="38" t="n">
        <f aca="false">IF(AND(P338=1,ISNUMBER(E338)),Q338-E338,"")</f>
        <v>0.100000000000023</v>
      </c>
      <c r="S338" s="31" t="n">
        <v>0</v>
      </c>
      <c r="T338" s="27" t="s">
        <v>385</v>
      </c>
    </row>
    <row r="339" customFormat="false" ht="15" hidden="false" customHeight="false" outlineLevel="0" collapsed="false">
      <c r="A339" s="31" t="n">
        <v>2026</v>
      </c>
      <c r="B339" s="31" t="n">
        <v>29</v>
      </c>
      <c r="C339" s="27" t="s">
        <v>194</v>
      </c>
      <c r="D339" s="27" t="s">
        <v>363</v>
      </c>
      <c r="E339" s="31" t="n">
        <v>288.4</v>
      </c>
      <c r="F339" s="31" t="n">
        <v>74.1</v>
      </c>
      <c r="G339" s="31" t="n">
        <v>58.6</v>
      </c>
      <c r="H339" s="31" t="n">
        <v>70</v>
      </c>
      <c r="I339" s="31" t="n">
        <v>50.7</v>
      </c>
      <c r="J339" s="31" t="n">
        <v>3.5</v>
      </c>
      <c r="K339" s="31" t="n">
        <v>6.5</v>
      </c>
      <c r="L339" s="31" t="n">
        <v>25</v>
      </c>
      <c r="M339" s="31"/>
      <c r="N339" s="31"/>
      <c r="O339" s="31" t="n">
        <v>108</v>
      </c>
      <c r="P339" s="31" t="n">
        <v>1</v>
      </c>
      <c r="Q339" s="12" t="n">
        <f aca="false">IF(P339=1,SUM(F339:M339)+N339,"")</f>
        <v>288.4</v>
      </c>
      <c r="R339" s="38" t="n">
        <f aca="false">IF(AND(P339=1,ISNUMBER(E339)),Q339-E339,"")</f>
        <v>0</v>
      </c>
      <c r="S339" s="31" t="n">
        <v>0</v>
      </c>
      <c r="T339" s="27" t="s">
        <v>385</v>
      </c>
    </row>
    <row r="340" customFormat="false" ht="15" hidden="false" customHeight="false" outlineLevel="0" collapsed="false">
      <c r="A340" s="31" t="n">
        <v>2026</v>
      </c>
      <c r="B340" s="31" t="n">
        <v>30</v>
      </c>
      <c r="C340" s="27" t="s">
        <v>195</v>
      </c>
      <c r="D340" s="27" t="s">
        <v>363</v>
      </c>
      <c r="E340" s="31" t="n">
        <v>281.9</v>
      </c>
      <c r="F340" s="31" t="n">
        <v>72</v>
      </c>
      <c r="G340" s="31" t="n">
        <v>33.5</v>
      </c>
      <c r="H340" s="31" t="n">
        <v>55</v>
      </c>
      <c r="I340" s="31" t="n">
        <v>39.5</v>
      </c>
      <c r="J340" s="31" t="n">
        <v>5.4</v>
      </c>
      <c r="K340" s="31" t="n">
        <v>51.5</v>
      </c>
      <c r="L340" s="31" t="n">
        <v>25</v>
      </c>
      <c r="M340" s="31"/>
      <c r="N340" s="31"/>
      <c r="O340" s="31" t="n">
        <v>104</v>
      </c>
      <c r="P340" s="31" t="n">
        <v>1</v>
      </c>
      <c r="Q340" s="12" t="n">
        <f aca="false">IF(P340=1,SUM(F340:M340)+N340,"")</f>
        <v>281.9</v>
      </c>
      <c r="R340" s="38" t="n">
        <f aca="false">IF(AND(P340=1,ISNUMBER(E340)),Q340-E340,"")</f>
        <v>0</v>
      </c>
      <c r="S340" s="31" t="n">
        <v>0</v>
      </c>
      <c r="T340" s="27" t="s">
        <v>385</v>
      </c>
    </row>
    <row r="341" customFormat="false" ht="15" hidden="false" customHeight="false" outlineLevel="0" collapsed="false">
      <c r="A341" s="31" t="n">
        <v>2026</v>
      </c>
      <c r="B341" s="31" t="n">
        <v>31</v>
      </c>
      <c r="C341" s="27" t="s">
        <v>150</v>
      </c>
      <c r="D341" s="27" t="s">
        <v>363</v>
      </c>
      <c r="E341" s="31" t="n">
        <v>274.5</v>
      </c>
      <c r="F341" s="31" t="n">
        <v>94.8</v>
      </c>
      <c r="G341" s="31" t="n">
        <v>59.7</v>
      </c>
      <c r="H341" s="31" t="n">
        <v>120</v>
      </c>
      <c r="I341" s="31"/>
      <c r="J341" s="31"/>
      <c r="K341" s="31"/>
      <c r="L341" s="31"/>
      <c r="M341" s="31"/>
      <c r="N341" s="31"/>
      <c r="O341" s="31" t="n">
        <v>3</v>
      </c>
      <c r="P341" s="31" t="n">
        <v>1</v>
      </c>
      <c r="Q341" s="12" t="n">
        <f aca="false">IF(P341=1,SUM(F341:M341)+N341,"")</f>
        <v>274.5</v>
      </c>
      <c r="R341" s="38" t="n">
        <f aca="false">IF(AND(P341=1,ISNUMBER(E341)),Q341-E341,"")</f>
        <v>0</v>
      </c>
      <c r="S341" s="31" t="n">
        <v>0</v>
      </c>
      <c r="T341" s="27" t="s">
        <v>385</v>
      </c>
    </row>
    <row r="342" customFormat="false" ht="15" hidden="false" customHeight="false" outlineLevel="0" collapsed="false">
      <c r="A342" s="31" t="n">
        <v>2026</v>
      </c>
      <c r="B342" s="31" t="n">
        <v>32</v>
      </c>
      <c r="C342" s="27" t="s">
        <v>196</v>
      </c>
      <c r="D342" s="27" t="s">
        <v>363</v>
      </c>
      <c r="E342" s="31" t="n">
        <v>274.2</v>
      </c>
      <c r="F342" s="31" t="n">
        <v>79.4</v>
      </c>
      <c r="G342" s="31" t="n">
        <v>45.5</v>
      </c>
      <c r="H342" s="31" t="n">
        <v>50</v>
      </c>
      <c r="I342" s="31" t="n">
        <v>25.4</v>
      </c>
      <c r="J342" s="31" t="n">
        <v>20.2</v>
      </c>
      <c r="K342" s="31" t="n">
        <v>36.7</v>
      </c>
      <c r="L342" s="31" t="n">
        <v>17</v>
      </c>
      <c r="M342" s="31"/>
      <c r="N342" s="31"/>
      <c r="O342" s="31" t="n">
        <v>56</v>
      </c>
      <c r="P342" s="31" t="n">
        <v>1</v>
      </c>
      <c r="Q342" s="12" t="n">
        <f aca="false">IF(P342=1,SUM(F342:M342)+N342,"")</f>
        <v>274.2</v>
      </c>
      <c r="R342" s="38" t="n">
        <f aca="false">IF(AND(P342=1,ISNUMBER(E342)),Q342-E342,"")</f>
        <v>0</v>
      </c>
      <c r="S342" s="31" t="n">
        <v>0</v>
      </c>
      <c r="T342" s="27" t="s">
        <v>385</v>
      </c>
    </row>
    <row r="343" customFormat="false" ht="15" hidden="false" customHeight="false" outlineLevel="0" collapsed="false">
      <c r="A343" s="31" t="n">
        <v>2026</v>
      </c>
      <c r="B343" s="31" t="n">
        <v>33</v>
      </c>
      <c r="C343" s="27" t="s">
        <v>33</v>
      </c>
      <c r="D343" s="27" t="s">
        <v>363</v>
      </c>
      <c r="E343" s="31" t="n">
        <v>273.1</v>
      </c>
      <c r="F343" s="31" t="n">
        <v>80.7</v>
      </c>
      <c r="G343" s="31" t="n">
        <v>57.4</v>
      </c>
      <c r="H343" s="31" t="n">
        <v>135</v>
      </c>
      <c r="I343" s="31"/>
      <c r="J343" s="31"/>
      <c r="K343" s="31"/>
      <c r="L343" s="31"/>
      <c r="M343" s="31"/>
      <c r="N343" s="31"/>
      <c r="O343" s="31" t="n">
        <v>4</v>
      </c>
      <c r="P343" s="31" t="n">
        <v>1</v>
      </c>
      <c r="Q343" s="12" t="n">
        <f aca="false">IF(P343=1,SUM(F343:M343)+N343,"")</f>
        <v>273.1</v>
      </c>
      <c r="R343" s="38" t="n">
        <f aca="false">IF(AND(P343=1,ISNUMBER(E343)),Q343-E343,"")</f>
        <v>0</v>
      </c>
      <c r="S343" s="31" t="n">
        <v>0</v>
      </c>
      <c r="T343" s="27" t="s">
        <v>385</v>
      </c>
    </row>
    <row r="344" customFormat="false" ht="15" hidden="false" customHeight="false" outlineLevel="0" collapsed="false">
      <c r="A344" s="31" t="n">
        <v>2026</v>
      </c>
      <c r="B344" s="31" t="n">
        <v>34</v>
      </c>
      <c r="C344" s="27" t="s">
        <v>157</v>
      </c>
      <c r="D344" s="27" t="s">
        <v>363</v>
      </c>
      <c r="E344" s="31" t="n">
        <v>258.2</v>
      </c>
      <c r="F344" s="31" t="n">
        <v>91.5</v>
      </c>
      <c r="G344" s="31" t="n">
        <v>19.4</v>
      </c>
      <c r="H344" s="31" t="n">
        <v>85</v>
      </c>
      <c r="I344" s="31" t="n">
        <v>0</v>
      </c>
      <c r="J344" s="31" t="n">
        <v>37.4</v>
      </c>
      <c r="K344" s="31" t="n">
        <v>0</v>
      </c>
      <c r="L344" s="31" t="n">
        <v>25</v>
      </c>
      <c r="M344" s="31"/>
      <c r="N344" s="31"/>
      <c r="O344" s="31" t="n">
        <v>113</v>
      </c>
      <c r="P344" s="31" t="n">
        <v>1</v>
      </c>
      <c r="Q344" s="12" t="n">
        <f aca="false">IF(P344=1,SUM(F344:M344)+N344,"")</f>
        <v>258.3</v>
      </c>
      <c r="R344" s="38" t="n">
        <f aca="false">IF(AND(P344=1,ISNUMBER(E344)),Q344-E344,"")</f>
        <v>0.100000000000023</v>
      </c>
      <c r="S344" s="31" t="n">
        <v>0</v>
      </c>
      <c r="T344" s="27" t="s">
        <v>385</v>
      </c>
    </row>
    <row r="345" customFormat="false" ht="15" hidden="false" customHeight="false" outlineLevel="0" collapsed="false">
      <c r="A345" s="31" t="n">
        <v>2026</v>
      </c>
      <c r="B345" s="31" t="n">
        <v>35</v>
      </c>
      <c r="C345" s="27" t="s">
        <v>159</v>
      </c>
      <c r="D345" s="27" t="s">
        <v>363</v>
      </c>
      <c r="E345" s="31" t="n">
        <v>251</v>
      </c>
      <c r="F345" s="31" t="n">
        <v>89.9</v>
      </c>
      <c r="G345" s="31" t="n">
        <v>56.1</v>
      </c>
      <c r="H345" s="31" t="n">
        <v>105</v>
      </c>
      <c r="I345" s="31"/>
      <c r="J345" s="31"/>
      <c r="K345" s="31"/>
      <c r="L345" s="31"/>
      <c r="M345" s="31"/>
      <c r="N345" s="31"/>
      <c r="O345" s="31" t="n">
        <v>97</v>
      </c>
      <c r="P345" s="31" t="n">
        <v>1</v>
      </c>
      <c r="Q345" s="12" t="n">
        <f aca="false">IF(P345=1,SUM(F345:M345)+N345,"")</f>
        <v>251</v>
      </c>
      <c r="R345" s="38" t="n">
        <f aca="false">IF(AND(P345=1,ISNUMBER(E345)),Q345-E345,"")</f>
        <v>0</v>
      </c>
      <c r="S345" s="31" t="n">
        <v>0</v>
      </c>
      <c r="T345" s="27" t="s">
        <v>385</v>
      </c>
    </row>
    <row r="346" customFormat="false" ht="15" hidden="false" customHeight="false" outlineLevel="0" collapsed="false">
      <c r="A346" s="31" t="n">
        <v>2026</v>
      </c>
      <c r="B346" s="31" t="n">
        <v>36</v>
      </c>
      <c r="C346" s="27" t="s">
        <v>161</v>
      </c>
      <c r="D346" s="27" t="s">
        <v>363</v>
      </c>
      <c r="E346" s="31" t="n">
        <v>246.1</v>
      </c>
      <c r="F346" s="31" t="n">
        <v>85.2</v>
      </c>
      <c r="G346" s="31" t="n">
        <v>16.9</v>
      </c>
      <c r="H346" s="31" t="n">
        <v>144</v>
      </c>
      <c r="I346" s="31"/>
      <c r="J346" s="31"/>
      <c r="K346" s="31"/>
      <c r="L346" s="31"/>
      <c r="M346" s="31"/>
      <c r="N346" s="31"/>
      <c r="O346" s="31" t="n">
        <v>92</v>
      </c>
      <c r="P346" s="31" t="n">
        <v>1</v>
      </c>
      <c r="Q346" s="12" t="n">
        <f aca="false">IF(P346=1,SUM(F346:M346)+N346,"")</f>
        <v>246.1</v>
      </c>
      <c r="R346" s="38" t="n">
        <f aca="false">IF(AND(P346=1,ISNUMBER(E346)),Q346-E346,"")</f>
        <v>0</v>
      </c>
      <c r="S346" s="31" t="n">
        <v>0</v>
      </c>
      <c r="T346" s="27" t="s">
        <v>385</v>
      </c>
    </row>
    <row r="347" customFormat="false" ht="15" hidden="false" customHeight="false" outlineLevel="0" collapsed="false">
      <c r="A347" s="31" t="n">
        <v>2026</v>
      </c>
      <c r="B347" s="31" t="n">
        <v>37</v>
      </c>
      <c r="C347" s="27" t="s">
        <v>197</v>
      </c>
      <c r="D347" s="27" t="s">
        <v>363</v>
      </c>
      <c r="E347" s="31" t="n">
        <v>244.7</v>
      </c>
      <c r="F347" s="31" t="n">
        <v>51.2</v>
      </c>
      <c r="G347" s="31" t="n">
        <v>18.8</v>
      </c>
      <c r="H347" s="31" t="n">
        <v>70</v>
      </c>
      <c r="I347" s="31" t="n">
        <v>4.5</v>
      </c>
      <c r="J347" s="31" t="n">
        <v>39.6</v>
      </c>
      <c r="K347" s="31" t="n">
        <v>60.7</v>
      </c>
      <c r="L347" s="31"/>
      <c r="M347" s="31"/>
      <c r="N347" s="31"/>
      <c r="O347" s="31" t="n">
        <v>51</v>
      </c>
      <c r="P347" s="31" t="n">
        <v>1</v>
      </c>
      <c r="Q347" s="12" t="n">
        <f aca="false">IF(P347=1,SUM(F347:M347)+N347,"")</f>
        <v>244.8</v>
      </c>
      <c r="R347" s="38" t="n">
        <f aca="false">IF(AND(P347=1,ISNUMBER(E347)),Q347-E347,"")</f>
        <v>0.100000000000023</v>
      </c>
      <c r="S347" s="31" t="n">
        <v>0</v>
      </c>
      <c r="T347" s="27" t="s">
        <v>385</v>
      </c>
    </row>
    <row r="348" customFormat="false" ht="15" hidden="false" customHeight="false" outlineLevel="0" collapsed="false">
      <c r="A348" s="31" t="n">
        <v>2026</v>
      </c>
      <c r="B348" s="31" t="n">
        <v>38</v>
      </c>
      <c r="C348" s="27" t="s">
        <v>169</v>
      </c>
      <c r="D348" s="27" t="s">
        <v>363</v>
      </c>
      <c r="E348" s="31" t="n">
        <v>238.8</v>
      </c>
      <c r="F348" s="31" t="n">
        <v>81.7</v>
      </c>
      <c r="G348" s="31" t="n">
        <v>57.1</v>
      </c>
      <c r="H348" s="31" t="n">
        <v>100</v>
      </c>
      <c r="I348" s="31"/>
      <c r="J348" s="31"/>
      <c r="K348" s="31"/>
      <c r="L348" s="31"/>
      <c r="M348" s="31"/>
      <c r="N348" s="31"/>
      <c r="O348" s="31" t="n">
        <v>17</v>
      </c>
      <c r="P348" s="31" t="n">
        <v>1</v>
      </c>
      <c r="Q348" s="12" t="n">
        <f aca="false">IF(P348=1,SUM(F348:M348)+N348,"")</f>
        <v>238.8</v>
      </c>
      <c r="R348" s="38" t="n">
        <f aca="false">IF(AND(P348=1,ISNUMBER(E348)),Q348-E348,"")</f>
        <v>0</v>
      </c>
      <c r="S348" s="31" t="n">
        <v>0</v>
      </c>
      <c r="T348" s="27" t="s">
        <v>385</v>
      </c>
    </row>
    <row r="349" customFormat="false" ht="15" hidden="false" customHeight="false" outlineLevel="0" collapsed="false">
      <c r="A349" s="31" t="n">
        <v>2026</v>
      </c>
      <c r="B349" s="31" t="n">
        <v>39</v>
      </c>
      <c r="C349" s="27" t="s">
        <v>162</v>
      </c>
      <c r="D349" s="27" t="s">
        <v>363</v>
      </c>
      <c r="E349" s="31" t="n">
        <v>235</v>
      </c>
      <c r="F349" s="31" t="n">
        <v>70</v>
      </c>
      <c r="G349" s="31" t="n">
        <v>60</v>
      </c>
      <c r="H349" s="31" t="n">
        <v>105</v>
      </c>
      <c r="I349" s="31"/>
      <c r="J349" s="31"/>
      <c r="K349" s="31"/>
      <c r="L349" s="31"/>
      <c r="M349" s="31"/>
      <c r="N349" s="31"/>
      <c r="O349" s="31" t="n">
        <v>7</v>
      </c>
      <c r="P349" s="31" t="n">
        <v>1</v>
      </c>
      <c r="Q349" s="12" t="n">
        <f aca="false">IF(P349=1,SUM(F349:M349)+N349,"")</f>
        <v>235</v>
      </c>
      <c r="R349" s="38" t="n">
        <f aca="false">IF(AND(P349=1,ISNUMBER(E349)),Q349-E349,"")</f>
        <v>0</v>
      </c>
      <c r="S349" s="31" t="n">
        <v>0</v>
      </c>
      <c r="T349" s="27" t="s">
        <v>385</v>
      </c>
    </row>
    <row r="350" customFormat="false" ht="15" hidden="false" customHeight="false" outlineLevel="0" collapsed="false">
      <c r="A350" s="31" t="n">
        <v>2026</v>
      </c>
      <c r="B350" s="31" t="n">
        <v>40</v>
      </c>
      <c r="C350" s="27" t="s">
        <v>198</v>
      </c>
      <c r="D350" s="27" t="s">
        <v>363</v>
      </c>
      <c r="E350" s="31" t="n">
        <v>235</v>
      </c>
      <c r="F350" s="31" t="n">
        <v>64</v>
      </c>
      <c r="G350" s="31" t="n">
        <v>56</v>
      </c>
      <c r="H350" s="31" t="n">
        <v>115</v>
      </c>
      <c r="I350" s="31"/>
      <c r="J350" s="31"/>
      <c r="K350" s="31"/>
      <c r="L350" s="31"/>
      <c r="M350" s="31"/>
      <c r="N350" s="31"/>
      <c r="O350" s="31" t="n">
        <v>89</v>
      </c>
      <c r="P350" s="31" t="n">
        <v>1</v>
      </c>
      <c r="Q350" s="12" t="n">
        <f aca="false">IF(P350=1,SUM(F350:M350)+N350,"")</f>
        <v>235</v>
      </c>
      <c r="R350" s="38" t="n">
        <f aca="false">IF(AND(P350=1,ISNUMBER(E350)),Q350-E350,"")</f>
        <v>0</v>
      </c>
      <c r="S350" s="31" t="n">
        <v>0</v>
      </c>
      <c r="T350" s="27" t="s">
        <v>385</v>
      </c>
    </row>
    <row r="351" customFormat="false" ht="15" hidden="false" customHeight="false" outlineLevel="0" collapsed="false">
      <c r="A351" s="31" t="n">
        <v>2026</v>
      </c>
      <c r="B351" s="31" t="n">
        <v>41</v>
      </c>
      <c r="C351" s="27" t="s">
        <v>199</v>
      </c>
      <c r="D351" s="27" t="s">
        <v>363</v>
      </c>
      <c r="E351" s="31" t="n">
        <v>232.9</v>
      </c>
      <c r="F351" s="31" t="n">
        <v>64.7</v>
      </c>
      <c r="G351" s="31" t="n">
        <v>69.2</v>
      </c>
      <c r="H351" s="31" t="n">
        <v>75</v>
      </c>
      <c r="I351" s="31" t="n">
        <v>4.5</v>
      </c>
      <c r="J351" s="31" t="n">
        <v>3.5</v>
      </c>
      <c r="K351" s="31"/>
      <c r="L351" s="31" t="n">
        <v>16</v>
      </c>
      <c r="M351" s="31"/>
      <c r="N351" s="31"/>
      <c r="O351" s="31" t="n">
        <v>29</v>
      </c>
      <c r="P351" s="31" t="n">
        <v>1</v>
      </c>
      <c r="Q351" s="12" t="n">
        <f aca="false">IF(P351=1,SUM(F351:M351)+N351,"")</f>
        <v>232.9</v>
      </c>
      <c r="R351" s="38" t="n">
        <f aca="false">IF(AND(P351=1,ISNUMBER(E351)),Q351-E351,"")</f>
        <v>0</v>
      </c>
      <c r="S351" s="31" t="n">
        <v>0</v>
      </c>
      <c r="T351" s="27" t="s">
        <v>385</v>
      </c>
    </row>
    <row r="352" customFormat="false" ht="15" hidden="false" customHeight="false" outlineLevel="0" collapsed="false">
      <c r="A352" s="31" t="n">
        <v>2026</v>
      </c>
      <c r="B352" s="31" t="n">
        <v>42</v>
      </c>
      <c r="C352" s="27" t="s">
        <v>200</v>
      </c>
      <c r="D352" s="27" t="s">
        <v>363</v>
      </c>
      <c r="E352" s="31" t="n">
        <v>228.1</v>
      </c>
      <c r="F352" s="31" t="n">
        <v>83</v>
      </c>
      <c r="G352" s="31" t="n">
        <v>16.5</v>
      </c>
      <c r="H352" s="31" t="n">
        <v>45</v>
      </c>
      <c r="I352" s="31" t="n">
        <v>4.5</v>
      </c>
      <c r="J352" s="31" t="n">
        <v>16.6</v>
      </c>
      <c r="K352" s="31" t="n">
        <v>61.5</v>
      </c>
      <c r="L352" s="31" t="n">
        <v>1</v>
      </c>
      <c r="M352" s="31"/>
      <c r="N352" s="31"/>
      <c r="O352" s="31" t="n">
        <v>110</v>
      </c>
      <c r="P352" s="31" t="n">
        <v>1</v>
      </c>
      <c r="Q352" s="12" t="n">
        <f aca="false">IF(P352=1,SUM(F352:M352)+N352,"")</f>
        <v>228.1</v>
      </c>
      <c r="R352" s="38" t="n">
        <f aca="false">IF(AND(P352=1,ISNUMBER(E352)),Q352-E352,"")</f>
        <v>0</v>
      </c>
      <c r="S352" s="31" t="n">
        <v>0</v>
      </c>
      <c r="T352" s="27" t="s">
        <v>385</v>
      </c>
    </row>
    <row r="353" customFormat="false" ht="15" hidden="false" customHeight="false" outlineLevel="0" collapsed="false">
      <c r="A353" s="31" t="n">
        <v>2026</v>
      </c>
      <c r="B353" s="31" t="n">
        <v>43</v>
      </c>
      <c r="C353" s="27" t="s">
        <v>201</v>
      </c>
      <c r="D353" s="27" t="s">
        <v>363</v>
      </c>
      <c r="E353" s="31" t="n">
        <v>227.7</v>
      </c>
      <c r="F353" s="31" t="n">
        <v>72.6</v>
      </c>
      <c r="G353" s="31" t="n">
        <v>65.1</v>
      </c>
      <c r="H353" s="31" t="n">
        <v>90</v>
      </c>
      <c r="I353" s="31"/>
      <c r="J353" s="31"/>
      <c r="K353" s="31"/>
      <c r="L353" s="31"/>
      <c r="M353" s="31"/>
      <c r="N353" s="31"/>
      <c r="O353" s="31" t="n">
        <v>115</v>
      </c>
      <c r="P353" s="31" t="n">
        <v>1</v>
      </c>
      <c r="Q353" s="12" t="n">
        <f aca="false">IF(P353=1,SUM(F353:M353)+N353,"")</f>
        <v>227.7</v>
      </c>
      <c r="R353" s="38" t="n">
        <f aca="false">IF(AND(P353=1,ISNUMBER(E353)),Q353-E353,"")</f>
        <v>0</v>
      </c>
      <c r="S353" s="31" t="n">
        <v>0</v>
      </c>
      <c r="T353" s="27" t="s">
        <v>385</v>
      </c>
    </row>
    <row r="354" customFormat="false" ht="15" hidden="false" customHeight="false" outlineLevel="0" collapsed="false">
      <c r="A354" s="31" t="n">
        <v>2026</v>
      </c>
      <c r="B354" s="31" t="n">
        <v>44</v>
      </c>
      <c r="C354" s="27" t="s">
        <v>202</v>
      </c>
      <c r="D354" s="27" t="s">
        <v>363</v>
      </c>
      <c r="E354" s="31" t="n">
        <v>223.2</v>
      </c>
      <c r="F354" s="31" t="n">
        <v>73.1</v>
      </c>
      <c r="G354" s="31" t="n">
        <v>70.1</v>
      </c>
      <c r="H354" s="31" t="n">
        <v>80</v>
      </c>
      <c r="I354" s="31"/>
      <c r="J354" s="31"/>
      <c r="K354" s="31"/>
      <c r="L354" s="31"/>
      <c r="M354" s="31"/>
      <c r="N354" s="31"/>
      <c r="O354" s="31" t="n">
        <v>100</v>
      </c>
      <c r="P354" s="31" t="n">
        <v>1</v>
      </c>
      <c r="Q354" s="12" t="n">
        <f aca="false">IF(P354=1,SUM(F354:M354)+N354,"")</f>
        <v>223.2</v>
      </c>
      <c r="R354" s="38" t="n">
        <f aca="false">IF(AND(P354=1,ISNUMBER(E354)),Q354-E354,"")</f>
        <v>0</v>
      </c>
      <c r="S354" s="31" t="n">
        <v>0</v>
      </c>
      <c r="T354" s="27" t="s">
        <v>385</v>
      </c>
    </row>
    <row r="355" customFormat="false" ht="15" hidden="false" customHeight="false" outlineLevel="0" collapsed="false">
      <c r="A355" s="31" t="n">
        <v>2026</v>
      </c>
      <c r="B355" s="31" t="n">
        <v>45</v>
      </c>
      <c r="C355" s="27" t="s">
        <v>203</v>
      </c>
      <c r="D355" s="27" t="s">
        <v>363</v>
      </c>
      <c r="E355" s="31" t="n">
        <v>220.5</v>
      </c>
      <c r="F355" s="31" t="n">
        <v>72.4</v>
      </c>
      <c r="G355" s="31" t="n">
        <v>43.1</v>
      </c>
      <c r="H355" s="31" t="n">
        <v>105</v>
      </c>
      <c r="I355" s="31"/>
      <c r="J355" s="31"/>
      <c r="K355" s="31"/>
      <c r="L355" s="31"/>
      <c r="M355" s="31"/>
      <c r="N355" s="31"/>
      <c r="O355" s="31" t="n">
        <v>74</v>
      </c>
      <c r="P355" s="31" t="n">
        <v>1</v>
      </c>
      <c r="Q355" s="12" t="n">
        <f aca="false">IF(P355=1,SUM(F355:M355)+N355,"")</f>
        <v>220.5</v>
      </c>
      <c r="R355" s="38" t="n">
        <f aca="false">IF(AND(P355=1,ISNUMBER(E355)),Q355-E355,"")</f>
        <v>0</v>
      </c>
      <c r="S355" s="31" t="n">
        <v>0</v>
      </c>
      <c r="T355" s="27" t="s">
        <v>385</v>
      </c>
    </row>
    <row r="356" customFormat="false" ht="15" hidden="false" customHeight="false" outlineLevel="0" collapsed="false">
      <c r="A356" s="31" t="n">
        <v>2026</v>
      </c>
      <c r="B356" s="31" t="n">
        <v>46</v>
      </c>
      <c r="C356" s="27" t="s">
        <v>204</v>
      </c>
      <c r="D356" s="27" t="s">
        <v>363</v>
      </c>
      <c r="E356" s="31" t="n">
        <v>219.7</v>
      </c>
      <c r="F356" s="31" t="n">
        <v>52.2</v>
      </c>
      <c r="G356" s="31" t="n">
        <v>14.5</v>
      </c>
      <c r="H356" s="31" t="n">
        <v>45</v>
      </c>
      <c r="I356" s="31" t="n">
        <v>45.4</v>
      </c>
      <c r="J356" s="31" t="n">
        <v>37.7</v>
      </c>
      <c r="K356" s="31" t="n">
        <v>0</v>
      </c>
      <c r="L356" s="31" t="n">
        <v>25</v>
      </c>
      <c r="M356" s="31"/>
      <c r="N356" s="31"/>
      <c r="O356" s="31" t="n">
        <v>109</v>
      </c>
      <c r="P356" s="31" t="n">
        <v>1</v>
      </c>
      <c r="Q356" s="12" t="n">
        <f aca="false">IF(P356=1,SUM(F356:M356)+N356,"")</f>
        <v>219.8</v>
      </c>
      <c r="R356" s="38" t="n">
        <f aca="false">IF(AND(P356=1,ISNUMBER(E356)),Q356-E356,"")</f>
        <v>0.100000000000023</v>
      </c>
      <c r="S356" s="31" t="n">
        <v>0</v>
      </c>
      <c r="T356" s="27" t="s">
        <v>385</v>
      </c>
    </row>
    <row r="357" customFormat="false" ht="15" hidden="false" customHeight="false" outlineLevel="0" collapsed="false">
      <c r="A357" s="31" t="n">
        <v>2026</v>
      </c>
      <c r="B357" s="31" t="n">
        <v>47</v>
      </c>
      <c r="C357" s="27" t="s">
        <v>205</v>
      </c>
      <c r="D357" s="27" t="s">
        <v>363</v>
      </c>
      <c r="E357" s="31" t="n">
        <v>218.8</v>
      </c>
      <c r="F357" s="31" t="n">
        <v>90.4</v>
      </c>
      <c r="G357" s="31" t="n">
        <v>33.5</v>
      </c>
      <c r="H357" s="31" t="n">
        <v>95</v>
      </c>
      <c r="I357" s="31"/>
      <c r="J357" s="31"/>
      <c r="K357" s="31"/>
      <c r="L357" s="31"/>
      <c r="M357" s="31"/>
      <c r="N357" s="31"/>
      <c r="O357" s="31" t="n">
        <v>32</v>
      </c>
      <c r="P357" s="31" t="n">
        <v>1</v>
      </c>
      <c r="Q357" s="12" t="n">
        <f aca="false">IF(P357=1,SUM(F357:M357)+N357,"")</f>
        <v>218.9</v>
      </c>
      <c r="R357" s="38" t="n">
        <f aca="false">IF(AND(P357=1,ISNUMBER(E357)),Q357-E357,"")</f>
        <v>0.0999999999999943</v>
      </c>
      <c r="S357" s="31" t="n">
        <v>0</v>
      </c>
      <c r="T357" s="27" t="s">
        <v>385</v>
      </c>
    </row>
    <row r="358" customFormat="false" ht="15" hidden="false" customHeight="false" outlineLevel="0" collapsed="false">
      <c r="A358" s="31" t="n">
        <v>2026</v>
      </c>
      <c r="B358" s="31" t="n">
        <v>48</v>
      </c>
      <c r="C358" s="27" t="s">
        <v>206</v>
      </c>
      <c r="D358" s="27" t="s">
        <v>363</v>
      </c>
      <c r="E358" s="31" t="n">
        <v>217</v>
      </c>
      <c r="F358" s="31" t="n">
        <v>67.7</v>
      </c>
      <c r="G358" s="31" t="n">
        <v>49.3</v>
      </c>
      <c r="H358" s="31" t="n">
        <v>100</v>
      </c>
      <c r="I358" s="31"/>
      <c r="J358" s="31"/>
      <c r="K358" s="31"/>
      <c r="L358" s="31"/>
      <c r="M358" s="31"/>
      <c r="N358" s="31"/>
      <c r="O358" s="31" t="n">
        <v>96</v>
      </c>
      <c r="P358" s="31" t="n">
        <v>1</v>
      </c>
      <c r="Q358" s="12" t="n">
        <f aca="false">IF(P358=1,SUM(F358:M358)+N358,"")</f>
        <v>217</v>
      </c>
      <c r="R358" s="38" t="n">
        <f aca="false">IF(AND(P358=1,ISNUMBER(E358)),Q358-E358,"")</f>
        <v>0</v>
      </c>
      <c r="S358" s="31" t="n">
        <v>0</v>
      </c>
      <c r="T358" s="27" t="s">
        <v>385</v>
      </c>
    </row>
    <row r="359" customFormat="false" ht="15" hidden="false" customHeight="false" outlineLevel="0" collapsed="false">
      <c r="A359" s="31" t="n">
        <v>2026</v>
      </c>
      <c r="B359" s="31" t="n">
        <v>49</v>
      </c>
      <c r="C359" s="27" t="s">
        <v>207</v>
      </c>
      <c r="D359" s="27" t="s">
        <v>363</v>
      </c>
      <c r="E359" s="31" t="n">
        <v>214.8</v>
      </c>
      <c r="F359" s="31" t="n">
        <v>56.1</v>
      </c>
      <c r="G359" s="31" t="n">
        <v>19.3</v>
      </c>
      <c r="H359" s="31" t="n">
        <v>85</v>
      </c>
      <c r="I359" s="31" t="n">
        <v>4.5</v>
      </c>
      <c r="J359" s="31" t="n">
        <v>3.5</v>
      </c>
      <c r="K359" s="31" t="n">
        <v>46.3</v>
      </c>
      <c r="L359" s="31"/>
      <c r="M359" s="31"/>
      <c r="N359" s="31"/>
      <c r="O359" s="31" t="n">
        <v>68</v>
      </c>
      <c r="P359" s="31" t="n">
        <v>1</v>
      </c>
      <c r="Q359" s="12" t="n">
        <f aca="false">IF(P359=1,SUM(F359:M359)+N359,"")</f>
        <v>214.7</v>
      </c>
      <c r="R359" s="38" t="n">
        <f aca="false">IF(AND(P359=1,ISNUMBER(E359)),Q359-E359,"")</f>
        <v>-0.100000000000023</v>
      </c>
      <c r="S359" s="31" t="n">
        <v>0</v>
      </c>
      <c r="T359" s="27" t="s">
        <v>385</v>
      </c>
    </row>
    <row r="360" customFormat="false" ht="15" hidden="false" customHeight="false" outlineLevel="0" collapsed="false">
      <c r="A360" s="31" t="n">
        <v>2026</v>
      </c>
      <c r="B360" s="31" t="n">
        <v>50</v>
      </c>
      <c r="C360" s="27" t="s">
        <v>208</v>
      </c>
      <c r="D360" s="27" t="s">
        <v>363</v>
      </c>
      <c r="E360" s="31" t="n">
        <v>212.9</v>
      </c>
      <c r="F360" s="31" t="n">
        <v>90.5</v>
      </c>
      <c r="G360" s="31" t="n">
        <v>42.4</v>
      </c>
      <c r="H360" s="31" t="n">
        <v>80</v>
      </c>
      <c r="I360" s="31"/>
      <c r="J360" s="31"/>
      <c r="K360" s="31"/>
      <c r="L360" s="31"/>
      <c r="M360" s="31"/>
      <c r="N360" s="31"/>
      <c r="O360" s="31" t="n">
        <v>57</v>
      </c>
      <c r="P360" s="31" t="n">
        <v>1</v>
      </c>
      <c r="Q360" s="12" t="n">
        <f aca="false">IF(P360=1,SUM(F360:M360)+N360,"")</f>
        <v>212.9</v>
      </c>
      <c r="R360" s="38" t="n">
        <f aca="false">IF(AND(P360=1,ISNUMBER(E360)),Q360-E360,"")</f>
        <v>0</v>
      </c>
      <c r="S360" s="31" t="n">
        <v>0</v>
      </c>
      <c r="T360" s="27" t="s">
        <v>385</v>
      </c>
    </row>
    <row r="361" customFormat="false" ht="15" hidden="false" customHeight="false" outlineLevel="0" collapsed="false">
      <c r="A361" s="31" t="n">
        <v>2026</v>
      </c>
      <c r="B361" s="31" t="n">
        <v>51</v>
      </c>
      <c r="C361" s="27" t="s">
        <v>154</v>
      </c>
      <c r="D361" s="27" t="s">
        <v>363</v>
      </c>
      <c r="E361" s="31" t="n">
        <v>211.1</v>
      </c>
      <c r="F361" s="31" t="n">
        <v>60.4</v>
      </c>
      <c r="G361" s="31" t="n">
        <v>50.7</v>
      </c>
      <c r="H361" s="31" t="n">
        <v>100</v>
      </c>
      <c r="I361" s="31"/>
      <c r="J361" s="31"/>
      <c r="K361" s="31"/>
      <c r="L361" s="31"/>
      <c r="M361" s="31"/>
      <c r="N361" s="31"/>
      <c r="O361" s="31" t="n">
        <v>25</v>
      </c>
      <c r="P361" s="31" t="n">
        <v>1</v>
      </c>
      <c r="Q361" s="12" t="n">
        <f aca="false">IF(P361=1,SUM(F361:M361)+N361,"")</f>
        <v>211.1</v>
      </c>
      <c r="R361" s="38" t="n">
        <f aca="false">IF(AND(P361=1,ISNUMBER(E361)),Q361-E361,"")</f>
        <v>0</v>
      </c>
      <c r="S361" s="31" t="n">
        <v>0</v>
      </c>
      <c r="T361" s="27" t="s">
        <v>385</v>
      </c>
    </row>
    <row r="362" customFormat="false" ht="15" hidden="false" customHeight="false" outlineLevel="0" collapsed="false">
      <c r="A362" s="31" t="n">
        <v>2026</v>
      </c>
      <c r="B362" s="31" t="n">
        <v>52</v>
      </c>
      <c r="C362" s="27" t="s">
        <v>160</v>
      </c>
      <c r="D362" s="27" t="s">
        <v>363</v>
      </c>
      <c r="E362" s="31" t="n">
        <v>199.6</v>
      </c>
      <c r="F362" s="31" t="n">
        <v>71.9</v>
      </c>
      <c r="G362" s="31" t="n">
        <v>47.8</v>
      </c>
      <c r="H362" s="31" t="n">
        <v>80</v>
      </c>
      <c r="I362" s="31"/>
      <c r="J362" s="31"/>
      <c r="K362" s="31"/>
      <c r="L362" s="31"/>
      <c r="M362" s="31"/>
      <c r="N362" s="31"/>
      <c r="O362" s="31" t="n">
        <v>23</v>
      </c>
      <c r="P362" s="31" t="n">
        <v>1</v>
      </c>
      <c r="Q362" s="12" t="n">
        <f aca="false">IF(P362=1,SUM(F362:M362)+N362,"")</f>
        <v>199.7</v>
      </c>
      <c r="R362" s="38" t="n">
        <f aca="false">IF(AND(P362=1,ISNUMBER(E362)),Q362-E362,"")</f>
        <v>0.0999999999999943</v>
      </c>
      <c r="S362" s="31" t="n">
        <v>0</v>
      </c>
      <c r="T362" s="27" t="s">
        <v>385</v>
      </c>
    </row>
    <row r="363" customFormat="false" ht="15" hidden="false" customHeight="false" outlineLevel="0" collapsed="false">
      <c r="A363" s="31" t="n">
        <v>2026</v>
      </c>
      <c r="B363" s="31" t="n">
        <v>53</v>
      </c>
      <c r="C363" s="27" t="s">
        <v>170</v>
      </c>
      <c r="D363" s="27" t="s">
        <v>363</v>
      </c>
      <c r="E363" s="31" t="n">
        <v>192.3</v>
      </c>
      <c r="F363" s="31" t="n">
        <v>65.1</v>
      </c>
      <c r="G363" s="31" t="n">
        <v>17.2</v>
      </c>
      <c r="H363" s="31" t="n">
        <v>110</v>
      </c>
      <c r="I363" s="31"/>
      <c r="J363" s="31"/>
      <c r="K363" s="31"/>
      <c r="L363" s="31"/>
      <c r="M363" s="31"/>
      <c r="N363" s="31"/>
      <c r="O363" s="31" t="n">
        <v>10</v>
      </c>
      <c r="P363" s="31" t="n">
        <v>1</v>
      </c>
      <c r="Q363" s="12" t="n">
        <f aca="false">IF(P363=1,SUM(F363:M363)+N363,"")</f>
        <v>192.3</v>
      </c>
      <c r="R363" s="38" t="n">
        <f aca="false">IF(AND(P363=1,ISNUMBER(E363)),Q363-E363,"")</f>
        <v>0</v>
      </c>
      <c r="S363" s="31" t="n">
        <v>0</v>
      </c>
      <c r="T363" s="27" t="s">
        <v>385</v>
      </c>
    </row>
    <row r="364" customFormat="false" ht="15" hidden="false" customHeight="false" outlineLevel="0" collapsed="false">
      <c r="A364" s="31" t="n">
        <v>2026</v>
      </c>
      <c r="B364" s="31" t="n">
        <v>54</v>
      </c>
      <c r="C364" s="27" t="s">
        <v>209</v>
      </c>
      <c r="D364" s="27" t="s">
        <v>363</v>
      </c>
      <c r="E364" s="31" t="n">
        <v>190.9</v>
      </c>
      <c r="F364" s="31" t="n">
        <v>42.1</v>
      </c>
      <c r="G364" s="31" t="n">
        <v>32.8</v>
      </c>
      <c r="H364" s="31" t="n">
        <v>65</v>
      </c>
      <c r="I364" s="31"/>
      <c r="J364" s="31"/>
      <c r="K364" s="31"/>
      <c r="L364" s="31" t="n">
        <v>14</v>
      </c>
      <c r="M364" s="31" t="n">
        <v>37</v>
      </c>
      <c r="N364" s="31"/>
      <c r="O364" s="31" t="n">
        <v>24</v>
      </c>
      <c r="P364" s="31" t="n">
        <v>1</v>
      </c>
      <c r="Q364" s="12" t="n">
        <f aca="false">IF(P364=1,SUM(F364:M364)+N364,"")</f>
        <v>190.9</v>
      </c>
      <c r="R364" s="38" t="n">
        <f aca="false">IF(AND(P364=1,ISNUMBER(E364)),Q364-E364,"")</f>
        <v>0</v>
      </c>
      <c r="S364" s="31" t="n">
        <v>0</v>
      </c>
      <c r="T364" s="27" t="s">
        <v>385</v>
      </c>
    </row>
    <row r="365" customFormat="false" ht="15" hidden="false" customHeight="false" outlineLevel="0" collapsed="false">
      <c r="A365" s="31" t="n">
        <v>2026</v>
      </c>
      <c r="B365" s="31" t="n">
        <v>55</v>
      </c>
      <c r="C365" s="27" t="s">
        <v>210</v>
      </c>
      <c r="D365" s="27" t="s">
        <v>363</v>
      </c>
      <c r="E365" s="31" t="n">
        <v>188.8</v>
      </c>
      <c r="F365" s="31" t="n">
        <v>77.7</v>
      </c>
      <c r="G365" s="31" t="n">
        <v>31.1</v>
      </c>
      <c r="H365" s="31" t="n">
        <v>80</v>
      </c>
      <c r="I365" s="31"/>
      <c r="J365" s="31"/>
      <c r="K365" s="31"/>
      <c r="L365" s="31"/>
      <c r="M365" s="31"/>
      <c r="N365" s="31"/>
      <c r="O365" s="31" t="n">
        <v>102</v>
      </c>
      <c r="P365" s="31" t="n">
        <v>1</v>
      </c>
      <c r="Q365" s="12" t="n">
        <f aca="false">IF(P365=1,SUM(F365:M365)+N365,"")</f>
        <v>188.8</v>
      </c>
      <c r="R365" s="38" t="n">
        <f aca="false">IF(AND(P365=1,ISNUMBER(E365)),Q365-E365,"")</f>
        <v>0</v>
      </c>
      <c r="S365" s="31" t="n">
        <v>0</v>
      </c>
      <c r="T365" s="27" t="s">
        <v>385</v>
      </c>
    </row>
    <row r="366" customFormat="false" ht="15" hidden="false" customHeight="false" outlineLevel="0" collapsed="false">
      <c r="A366" s="31" t="n">
        <v>2026</v>
      </c>
      <c r="B366" s="31" t="n">
        <v>56</v>
      </c>
      <c r="C366" s="27" t="s">
        <v>211</v>
      </c>
      <c r="D366" s="27" t="s">
        <v>363</v>
      </c>
      <c r="E366" s="31" t="n">
        <v>186.9</v>
      </c>
      <c r="F366" s="31" t="n">
        <v>80</v>
      </c>
      <c r="G366" s="31" t="n">
        <v>17</v>
      </c>
      <c r="H366" s="31" t="n">
        <v>90</v>
      </c>
      <c r="I366" s="31"/>
      <c r="J366" s="31"/>
      <c r="K366" s="31"/>
      <c r="L366" s="31"/>
      <c r="M366" s="31"/>
      <c r="N366" s="31"/>
      <c r="O366" s="31" t="n">
        <v>101</v>
      </c>
      <c r="P366" s="31" t="n">
        <v>1</v>
      </c>
      <c r="Q366" s="12" t="n">
        <f aca="false">IF(P366=1,SUM(F366:M366)+N366,"")</f>
        <v>187</v>
      </c>
      <c r="R366" s="38" t="n">
        <f aca="false">IF(AND(P366=1,ISNUMBER(E366)),Q366-E366,"")</f>
        <v>0.0999999999999943</v>
      </c>
      <c r="S366" s="31" t="n">
        <v>0</v>
      </c>
      <c r="T366" s="27" t="s">
        <v>385</v>
      </c>
    </row>
    <row r="367" customFormat="false" ht="15" hidden="false" customHeight="false" outlineLevel="0" collapsed="false">
      <c r="A367" s="31" t="n">
        <v>2026</v>
      </c>
      <c r="B367" s="31" t="n">
        <v>57</v>
      </c>
      <c r="C367" s="27" t="s">
        <v>212</v>
      </c>
      <c r="D367" s="27" t="s">
        <v>363</v>
      </c>
      <c r="E367" s="31" t="n">
        <v>186.2</v>
      </c>
      <c r="F367" s="31" t="n">
        <v>72</v>
      </c>
      <c r="G367" s="31" t="n">
        <v>29.2</v>
      </c>
      <c r="H367" s="31" t="n">
        <v>85</v>
      </c>
      <c r="I367" s="31"/>
      <c r="J367" s="31"/>
      <c r="K367" s="31"/>
      <c r="L367" s="31"/>
      <c r="M367" s="31"/>
      <c r="N367" s="31"/>
      <c r="O367" s="31" t="n">
        <v>33</v>
      </c>
      <c r="P367" s="31" t="n">
        <v>1</v>
      </c>
      <c r="Q367" s="12" t="n">
        <f aca="false">IF(P367=1,SUM(F367:M367)+N367,"")</f>
        <v>186.2</v>
      </c>
      <c r="R367" s="38" t="n">
        <f aca="false">IF(AND(P367=1,ISNUMBER(E367)),Q367-E367,"")</f>
        <v>0</v>
      </c>
      <c r="S367" s="31" t="n">
        <v>0</v>
      </c>
      <c r="T367" s="27" t="s">
        <v>385</v>
      </c>
    </row>
    <row r="368" customFormat="false" ht="15" hidden="false" customHeight="false" outlineLevel="0" collapsed="false">
      <c r="A368" s="31" t="n">
        <v>2026</v>
      </c>
      <c r="B368" s="31" t="n">
        <v>58</v>
      </c>
      <c r="C368" s="27" t="s">
        <v>213</v>
      </c>
      <c r="D368" s="27" t="s">
        <v>363</v>
      </c>
      <c r="E368" s="31" t="n">
        <v>181.2</v>
      </c>
      <c r="F368" s="31" t="n">
        <v>78.3</v>
      </c>
      <c r="G368" s="31" t="n">
        <v>19.4</v>
      </c>
      <c r="H368" s="31" t="n">
        <v>55</v>
      </c>
      <c r="I368" s="31" t="n">
        <v>4.5</v>
      </c>
      <c r="J368" s="31" t="n">
        <v>3.5</v>
      </c>
      <c r="K368" s="31" t="n">
        <v>6.5</v>
      </c>
      <c r="L368" s="31" t="n">
        <v>14</v>
      </c>
      <c r="M368" s="31"/>
      <c r="N368" s="31"/>
      <c r="O368" s="31" t="n">
        <v>73</v>
      </c>
      <c r="P368" s="31" t="n">
        <v>1</v>
      </c>
      <c r="Q368" s="12" t="n">
        <f aca="false">IF(P368=1,SUM(F368:M368)+N368,"")</f>
        <v>181.2</v>
      </c>
      <c r="R368" s="38" t="n">
        <f aca="false">IF(AND(P368=1,ISNUMBER(E368)),Q368-E368,"")</f>
        <v>0</v>
      </c>
      <c r="S368" s="31" t="n">
        <v>0</v>
      </c>
      <c r="T368" s="27" t="s">
        <v>385</v>
      </c>
    </row>
    <row r="369" customFormat="false" ht="15" hidden="false" customHeight="false" outlineLevel="0" collapsed="false">
      <c r="A369" s="31" t="n">
        <v>2026</v>
      </c>
      <c r="B369" s="31" t="n">
        <v>59</v>
      </c>
      <c r="C369" s="27" t="s">
        <v>214</v>
      </c>
      <c r="D369" s="27" t="s">
        <v>363</v>
      </c>
      <c r="E369" s="31" t="n">
        <v>178.1</v>
      </c>
      <c r="F369" s="31" t="n">
        <v>57.8</v>
      </c>
      <c r="G369" s="31" t="n">
        <v>30.3</v>
      </c>
      <c r="H369" s="31" t="n">
        <v>90</v>
      </c>
      <c r="I369" s="31"/>
      <c r="J369" s="31"/>
      <c r="K369" s="31"/>
      <c r="L369" s="31"/>
      <c r="M369" s="31"/>
      <c r="N369" s="31"/>
      <c r="O369" s="31" t="n">
        <v>42</v>
      </c>
      <c r="P369" s="31" t="n">
        <v>1</v>
      </c>
      <c r="Q369" s="12" t="n">
        <f aca="false">IF(P369=1,SUM(F369:M369)+N369,"")</f>
        <v>178.1</v>
      </c>
      <c r="R369" s="38" t="n">
        <f aca="false">IF(AND(P369=1,ISNUMBER(E369)),Q369-E369,"")</f>
        <v>0</v>
      </c>
      <c r="S369" s="31" t="n">
        <v>0</v>
      </c>
      <c r="T369" s="27" t="s">
        <v>385</v>
      </c>
    </row>
    <row r="370" customFormat="false" ht="15" hidden="false" customHeight="false" outlineLevel="0" collapsed="false">
      <c r="A370" s="31" t="n">
        <v>2026</v>
      </c>
      <c r="B370" s="31" t="n">
        <v>60</v>
      </c>
      <c r="C370" s="27" t="s">
        <v>215</v>
      </c>
      <c r="D370" s="27" t="s">
        <v>363</v>
      </c>
      <c r="E370" s="31" t="n">
        <v>174.5</v>
      </c>
      <c r="F370" s="31" t="n">
        <v>83.3</v>
      </c>
      <c r="G370" s="31" t="n">
        <v>16.3</v>
      </c>
      <c r="H370" s="31" t="n">
        <v>75</v>
      </c>
      <c r="I370" s="31"/>
      <c r="J370" s="31"/>
      <c r="K370" s="31"/>
      <c r="L370" s="31"/>
      <c r="M370" s="31"/>
      <c r="N370" s="31"/>
      <c r="O370" s="31" t="n">
        <v>61</v>
      </c>
      <c r="P370" s="31" t="n">
        <v>1</v>
      </c>
      <c r="Q370" s="12" t="n">
        <f aca="false">IF(P370=1,SUM(F370:M370)+N370,"")</f>
        <v>174.6</v>
      </c>
      <c r="R370" s="38" t="n">
        <f aca="false">IF(AND(P370=1,ISNUMBER(E370)),Q370-E370,"")</f>
        <v>0.0999999999999943</v>
      </c>
      <c r="S370" s="31" t="n">
        <v>0</v>
      </c>
      <c r="T370" s="27" t="s">
        <v>385</v>
      </c>
    </row>
    <row r="371" customFormat="false" ht="15" hidden="false" customHeight="false" outlineLevel="0" collapsed="false">
      <c r="A371" s="31" t="n">
        <v>2026</v>
      </c>
      <c r="B371" s="31" t="n">
        <v>61</v>
      </c>
      <c r="C371" s="27" t="s">
        <v>216</v>
      </c>
      <c r="D371" s="27" t="s">
        <v>363</v>
      </c>
      <c r="E371" s="31" t="n">
        <v>166.9</v>
      </c>
      <c r="F371" s="31" t="n">
        <v>58</v>
      </c>
      <c r="G371" s="31" t="n">
        <v>18.4</v>
      </c>
      <c r="H371" s="31" t="n">
        <v>85</v>
      </c>
      <c r="I371" s="31" t="n">
        <v>0</v>
      </c>
      <c r="J371" s="31" t="n">
        <v>3.5</v>
      </c>
      <c r="K371" s="31" t="n">
        <v>0</v>
      </c>
      <c r="L371" s="31" t="n">
        <v>2</v>
      </c>
      <c r="M371" s="31"/>
      <c r="N371" s="31"/>
      <c r="O371" s="31" t="n">
        <v>105</v>
      </c>
      <c r="P371" s="31" t="n">
        <v>1</v>
      </c>
      <c r="Q371" s="12" t="n">
        <f aca="false">IF(P371=1,SUM(F371:M371)+N371,"")</f>
        <v>166.9</v>
      </c>
      <c r="R371" s="38" t="n">
        <f aca="false">IF(AND(P371=1,ISNUMBER(E371)),Q371-E371,"")</f>
        <v>0</v>
      </c>
      <c r="S371" s="31" t="n">
        <v>0</v>
      </c>
      <c r="T371" s="27" t="s">
        <v>385</v>
      </c>
    </row>
    <row r="372" customFormat="false" ht="15" hidden="false" customHeight="false" outlineLevel="0" collapsed="false">
      <c r="A372" s="31" t="n">
        <v>2026</v>
      </c>
      <c r="B372" s="31" t="n">
        <v>62</v>
      </c>
      <c r="C372" s="27" t="s">
        <v>217</v>
      </c>
      <c r="D372" s="27" t="s">
        <v>363</v>
      </c>
      <c r="E372" s="31" t="n">
        <v>165.1</v>
      </c>
      <c r="F372" s="31" t="n">
        <v>34</v>
      </c>
      <c r="G372" s="31" t="n">
        <v>51.1</v>
      </c>
      <c r="H372" s="31" t="n">
        <v>80</v>
      </c>
      <c r="I372" s="31"/>
      <c r="J372" s="31"/>
      <c r="K372" s="31"/>
      <c r="L372" s="31"/>
      <c r="M372" s="31"/>
      <c r="N372" s="31"/>
      <c r="O372" s="31" t="n">
        <v>18</v>
      </c>
      <c r="P372" s="31" t="n">
        <v>1</v>
      </c>
      <c r="Q372" s="12" t="n">
        <f aca="false">IF(P372=1,SUM(F372:M372)+N372,"")</f>
        <v>165.1</v>
      </c>
      <c r="R372" s="38" t="n">
        <f aca="false">IF(AND(P372=1,ISNUMBER(E372)),Q372-E372,"")</f>
        <v>0</v>
      </c>
      <c r="S372" s="31" t="n">
        <v>0</v>
      </c>
      <c r="T372" s="27" t="s">
        <v>385</v>
      </c>
    </row>
    <row r="373" customFormat="false" ht="15" hidden="false" customHeight="false" outlineLevel="0" collapsed="false">
      <c r="A373" s="31" t="n">
        <v>2026</v>
      </c>
      <c r="B373" s="31" t="n">
        <v>63</v>
      </c>
      <c r="C373" s="27" t="s">
        <v>218</v>
      </c>
      <c r="D373" s="27" t="s">
        <v>363</v>
      </c>
      <c r="E373" s="31" t="n">
        <v>158.4</v>
      </c>
      <c r="F373" s="31" t="n">
        <v>77.1</v>
      </c>
      <c r="G373" s="31" t="n">
        <v>16.3</v>
      </c>
      <c r="H373" s="31" t="n">
        <v>65</v>
      </c>
      <c r="I373" s="31"/>
      <c r="J373" s="31"/>
      <c r="K373" s="31"/>
      <c r="L373" s="31"/>
      <c r="M373" s="31"/>
      <c r="N373" s="31"/>
      <c r="O373" s="31" t="n">
        <v>64</v>
      </c>
      <c r="P373" s="31" t="n">
        <v>1</v>
      </c>
      <c r="Q373" s="12" t="n">
        <f aca="false">IF(P373=1,SUM(F373:M373)+N373,"")</f>
        <v>158.4</v>
      </c>
      <c r="R373" s="38" t="n">
        <f aca="false">IF(AND(P373=1,ISNUMBER(E373)),Q373-E373,"")</f>
        <v>0</v>
      </c>
      <c r="S373" s="31" t="n">
        <v>0</v>
      </c>
      <c r="T373" s="27" t="s">
        <v>385</v>
      </c>
    </row>
    <row r="374" customFormat="false" ht="15" hidden="false" customHeight="false" outlineLevel="0" collapsed="false">
      <c r="A374" s="31" t="n">
        <v>2026</v>
      </c>
      <c r="B374" s="31" t="n">
        <v>64</v>
      </c>
      <c r="C374" s="27" t="s">
        <v>219</v>
      </c>
      <c r="D374" s="27" t="s">
        <v>363</v>
      </c>
      <c r="E374" s="31" t="n">
        <v>153.7</v>
      </c>
      <c r="F374" s="31" t="n">
        <v>82.6</v>
      </c>
      <c r="G374" s="31" t="n">
        <v>16.1</v>
      </c>
      <c r="H374" s="31" t="n">
        <v>55</v>
      </c>
      <c r="I374" s="31"/>
      <c r="J374" s="31"/>
      <c r="K374" s="31"/>
      <c r="L374" s="31"/>
      <c r="M374" s="31"/>
      <c r="N374" s="31"/>
      <c r="O374" s="31" t="n">
        <v>60</v>
      </c>
      <c r="P374" s="31" t="n">
        <v>1</v>
      </c>
      <c r="Q374" s="12" t="n">
        <f aca="false">IF(P374=1,SUM(F374:M374)+N374,"")</f>
        <v>153.7</v>
      </c>
      <c r="R374" s="38" t="n">
        <f aca="false">IF(AND(P374=1,ISNUMBER(E374)),Q374-E374,"")</f>
        <v>0</v>
      </c>
      <c r="S374" s="31" t="n">
        <v>0</v>
      </c>
      <c r="T374" s="27" t="s">
        <v>385</v>
      </c>
    </row>
    <row r="375" customFormat="false" ht="15" hidden="false" customHeight="false" outlineLevel="0" collapsed="false">
      <c r="A375" s="31" t="n">
        <v>2026</v>
      </c>
      <c r="B375" s="31" t="n">
        <v>65</v>
      </c>
      <c r="C375" s="27" t="s">
        <v>220</v>
      </c>
      <c r="D375" s="27" t="s">
        <v>363</v>
      </c>
      <c r="E375" s="31" t="n">
        <v>153.1</v>
      </c>
      <c r="F375" s="31" t="n">
        <v>75.3</v>
      </c>
      <c r="G375" s="31" t="n">
        <v>17.8</v>
      </c>
      <c r="H375" s="31" t="n">
        <v>60</v>
      </c>
      <c r="I375" s="31"/>
      <c r="J375" s="31"/>
      <c r="K375" s="31"/>
      <c r="L375" s="31"/>
      <c r="M375" s="31"/>
      <c r="N375" s="31"/>
      <c r="O375" s="31" t="n">
        <v>75</v>
      </c>
      <c r="P375" s="31" t="n">
        <v>1</v>
      </c>
      <c r="Q375" s="12" t="n">
        <f aca="false">IF(P375=1,SUM(F375:M375)+N375,"")</f>
        <v>153.1</v>
      </c>
      <c r="R375" s="38" t="n">
        <f aca="false">IF(AND(P375=1,ISNUMBER(E375)),Q375-E375,"")</f>
        <v>0</v>
      </c>
      <c r="S375" s="31" t="n">
        <v>0</v>
      </c>
      <c r="T375" s="27" t="s">
        <v>385</v>
      </c>
    </row>
    <row r="376" customFormat="false" ht="15" hidden="false" customHeight="false" outlineLevel="0" collapsed="false">
      <c r="A376" s="31" t="n">
        <v>2026</v>
      </c>
      <c r="B376" s="31" t="n">
        <v>66</v>
      </c>
      <c r="C376" s="27" t="s">
        <v>221</v>
      </c>
      <c r="D376" s="27" t="s">
        <v>363</v>
      </c>
      <c r="E376" s="31" t="n">
        <v>152.8</v>
      </c>
      <c r="F376" s="31" t="n">
        <v>78</v>
      </c>
      <c r="G376" s="31" t="n">
        <v>19.8</v>
      </c>
      <c r="H376" s="31" t="n">
        <v>55</v>
      </c>
      <c r="I376" s="31"/>
      <c r="J376" s="31"/>
      <c r="K376" s="31"/>
      <c r="L376" s="31"/>
      <c r="M376" s="31"/>
      <c r="N376" s="31"/>
      <c r="O376" s="31" t="n">
        <v>95</v>
      </c>
      <c r="P376" s="31" t="n">
        <v>1</v>
      </c>
      <c r="Q376" s="12" t="n">
        <f aca="false">IF(P376=1,SUM(F376:M376)+N376,"")</f>
        <v>152.8</v>
      </c>
      <c r="R376" s="38" t="n">
        <f aca="false">IF(AND(P376=1,ISNUMBER(E376)),Q376-E376,"")</f>
        <v>0</v>
      </c>
      <c r="S376" s="31" t="n">
        <v>0</v>
      </c>
      <c r="T376" s="27" t="s">
        <v>385</v>
      </c>
    </row>
    <row r="377" customFormat="false" ht="15" hidden="false" customHeight="false" outlineLevel="0" collapsed="false">
      <c r="A377" s="31" t="n">
        <v>2026</v>
      </c>
      <c r="B377" s="31" t="n">
        <v>67</v>
      </c>
      <c r="C377" s="27" t="s">
        <v>222</v>
      </c>
      <c r="D377" s="27" t="s">
        <v>363</v>
      </c>
      <c r="E377" s="31" t="n">
        <v>146</v>
      </c>
      <c r="F377" s="31" t="n">
        <v>68.2</v>
      </c>
      <c r="G377" s="31" t="n">
        <v>12.8</v>
      </c>
      <c r="H377" s="31" t="n">
        <v>65</v>
      </c>
      <c r="I377" s="31"/>
      <c r="J377" s="31"/>
      <c r="K377" s="31"/>
      <c r="L377" s="31"/>
      <c r="M377" s="31"/>
      <c r="N377" s="31"/>
      <c r="O377" s="31" t="n">
        <v>85</v>
      </c>
      <c r="P377" s="31" t="n">
        <v>1</v>
      </c>
      <c r="Q377" s="12" t="n">
        <f aca="false">IF(P377=1,SUM(F377:M377)+N377,"")</f>
        <v>146</v>
      </c>
      <c r="R377" s="38" t="n">
        <f aca="false">IF(AND(P377=1,ISNUMBER(E377)),Q377-E377,"")</f>
        <v>0</v>
      </c>
      <c r="S377" s="31" t="n">
        <v>0</v>
      </c>
      <c r="T377" s="27" t="s">
        <v>385</v>
      </c>
    </row>
    <row r="378" customFormat="false" ht="15" hidden="false" customHeight="false" outlineLevel="0" collapsed="false">
      <c r="A378" s="31" t="n">
        <v>2026</v>
      </c>
      <c r="B378" s="31" t="n">
        <v>68</v>
      </c>
      <c r="C378" s="27" t="s">
        <v>223</v>
      </c>
      <c r="D378" s="27" t="s">
        <v>363</v>
      </c>
      <c r="E378" s="31" t="n">
        <v>142.5</v>
      </c>
      <c r="F378" s="31" t="n">
        <v>45.8</v>
      </c>
      <c r="G378" s="31" t="n">
        <v>15.6</v>
      </c>
      <c r="H378" s="31" t="n">
        <v>80</v>
      </c>
      <c r="I378" s="31"/>
      <c r="J378" s="31"/>
      <c r="K378" s="31"/>
      <c r="L378" s="31" t="n">
        <v>1</v>
      </c>
      <c r="M378" s="31"/>
      <c r="N378" s="31"/>
      <c r="O378" s="31" t="n">
        <v>71</v>
      </c>
      <c r="P378" s="31" t="n">
        <v>1</v>
      </c>
      <c r="Q378" s="12" t="n">
        <f aca="false">IF(P378=1,SUM(F378:M378)+N378,"")</f>
        <v>142.4</v>
      </c>
      <c r="R378" s="38" t="n">
        <f aca="false">IF(AND(P378=1,ISNUMBER(E378)),Q378-E378,"")</f>
        <v>-0.0999999999999943</v>
      </c>
      <c r="S378" s="31" t="n">
        <v>0</v>
      </c>
      <c r="T378" s="27" t="s">
        <v>385</v>
      </c>
    </row>
    <row r="379" customFormat="false" ht="15" hidden="false" customHeight="false" outlineLevel="0" collapsed="false">
      <c r="A379" s="31" t="n">
        <v>2026</v>
      </c>
      <c r="B379" s="31" t="n">
        <v>69</v>
      </c>
      <c r="C379" s="27" t="s">
        <v>224</v>
      </c>
      <c r="D379" s="27" t="s">
        <v>363</v>
      </c>
      <c r="E379" s="31" t="n">
        <v>138.2</v>
      </c>
      <c r="F379" s="31" t="n">
        <v>53.3</v>
      </c>
      <c r="G379" s="31" t="n">
        <v>14.9</v>
      </c>
      <c r="H379" s="31" t="n">
        <v>70</v>
      </c>
      <c r="I379" s="31"/>
      <c r="J379" s="31"/>
      <c r="K379" s="31"/>
      <c r="L379" s="31"/>
      <c r="M379" s="31"/>
      <c r="N379" s="31"/>
      <c r="O379" s="31" t="n">
        <v>48</v>
      </c>
      <c r="P379" s="31" t="n">
        <v>1</v>
      </c>
      <c r="Q379" s="12" t="n">
        <f aca="false">IF(P379=1,SUM(F379:M379)+N379,"")</f>
        <v>138.2</v>
      </c>
      <c r="R379" s="38" t="n">
        <f aca="false">IF(AND(P379=1,ISNUMBER(E379)),Q379-E379,"")</f>
        <v>0</v>
      </c>
      <c r="S379" s="31" t="n">
        <v>0</v>
      </c>
      <c r="T379" s="27" t="s">
        <v>385</v>
      </c>
    </row>
    <row r="380" customFormat="false" ht="15" hidden="false" customHeight="false" outlineLevel="0" collapsed="false">
      <c r="A380" s="31" t="n">
        <v>2026</v>
      </c>
      <c r="B380" s="31" t="n">
        <v>70</v>
      </c>
      <c r="C380" s="27" t="s">
        <v>225</v>
      </c>
      <c r="D380" s="27" t="s">
        <v>363</v>
      </c>
      <c r="E380" s="31" t="n">
        <v>134.8</v>
      </c>
      <c r="F380" s="31" t="n">
        <v>44.8</v>
      </c>
      <c r="G380" s="31" t="n">
        <v>20</v>
      </c>
      <c r="H380" s="31" t="n">
        <v>70</v>
      </c>
      <c r="I380" s="31"/>
      <c r="J380" s="31"/>
      <c r="K380" s="31"/>
      <c r="L380" s="31"/>
      <c r="M380" s="31"/>
      <c r="N380" s="31"/>
      <c r="O380" s="31" t="n">
        <v>94</v>
      </c>
      <c r="P380" s="31" t="n">
        <v>1</v>
      </c>
      <c r="Q380" s="12" t="n">
        <f aca="false">IF(P380=1,SUM(F380:M380)+N380,"")</f>
        <v>134.8</v>
      </c>
      <c r="R380" s="38" t="n">
        <f aca="false">IF(AND(P380=1,ISNUMBER(E380)),Q380-E380,"")</f>
        <v>0</v>
      </c>
      <c r="S380" s="31" t="n">
        <v>0</v>
      </c>
      <c r="T380" s="27" t="s">
        <v>385</v>
      </c>
    </row>
    <row r="381" customFormat="false" ht="15" hidden="false" customHeight="false" outlineLevel="0" collapsed="false">
      <c r="A381" s="31" t="n">
        <v>2026</v>
      </c>
      <c r="B381" s="31" t="n">
        <v>71</v>
      </c>
      <c r="C381" s="27" t="s">
        <v>226</v>
      </c>
      <c r="D381" s="27" t="s">
        <v>363</v>
      </c>
      <c r="E381" s="31" t="n">
        <v>132.2</v>
      </c>
      <c r="F381" s="31" t="n">
        <v>55.7</v>
      </c>
      <c r="G381" s="31" t="n">
        <v>11.5</v>
      </c>
      <c r="H381" s="31" t="n">
        <v>65</v>
      </c>
      <c r="I381" s="31"/>
      <c r="J381" s="31"/>
      <c r="K381" s="31"/>
      <c r="L381" s="31"/>
      <c r="M381" s="31"/>
      <c r="N381" s="31"/>
      <c r="O381" s="31" t="n">
        <v>37</v>
      </c>
      <c r="P381" s="31" t="n">
        <v>1</v>
      </c>
      <c r="Q381" s="12" t="n">
        <f aca="false">IF(P381=1,SUM(F381:M381)+N381,"")</f>
        <v>132.2</v>
      </c>
      <c r="R381" s="38" t="n">
        <f aca="false">IF(AND(P381=1,ISNUMBER(E381)),Q381-E381,"")</f>
        <v>0</v>
      </c>
      <c r="S381" s="31" t="n">
        <v>0</v>
      </c>
      <c r="T381" s="27" t="s">
        <v>385</v>
      </c>
    </row>
    <row r="382" customFormat="false" ht="15" hidden="false" customHeight="false" outlineLevel="0" collapsed="false">
      <c r="A382" s="31" t="n">
        <v>2026</v>
      </c>
      <c r="B382" s="31" t="n">
        <v>72</v>
      </c>
      <c r="C382" s="27" t="s">
        <v>227</v>
      </c>
      <c r="D382" s="27" t="s">
        <v>363</v>
      </c>
      <c r="E382" s="31" t="n">
        <v>130.6</v>
      </c>
      <c r="F382" s="31" t="n">
        <v>80.6</v>
      </c>
      <c r="G382" s="31" t="n">
        <v>5</v>
      </c>
      <c r="H382" s="31" t="n">
        <v>45</v>
      </c>
      <c r="I382" s="31"/>
      <c r="J382" s="31"/>
      <c r="K382" s="31"/>
      <c r="L382" s="31"/>
      <c r="M382" s="31"/>
      <c r="N382" s="31"/>
      <c r="O382" s="31" t="n">
        <v>88</v>
      </c>
      <c r="P382" s="31" t="n">
        <v>1</v>
      </c>
      <c r="Q382" s="12" t="n">
        <f aca="false">IF(P382=1,SUM(F382:M382)+N382,"")</f>
        <v>130.6</v>
      </c>
      <c r="R382" s="38" t="n">
        <f aca="false">IF(AND(P382=1,ISNUMBER(E382)),Q382-E382,"")</f>
        <v>0</v>
      </c>
      <c r="S382" s="31" t="n">
        <v>0</v>
      </c>
      <c r="T382" s="27" t="s">
        <v>385</v>
      </c>
    </row>
    <row r="383" customFormat="false" ht="15" hidden="false" customHeight="false" outlineLevel="0" collapsed="false">
      <c r="A383" s="31" t="n">
        <v>2026</v>
      </c>
      <c r="B383" s="31" t="n">
        <v>73</v>
      </c>
      <c r="C383" s="27" t="s">
        <v>228</v>
      </c>
      <c r="D383" s="27" t="s">
        <v>363</v>
      </c>
      <c r="E383" s="31" t="n">
        <v>128.4</v>
      </c>
      <c r="F383" s="31" t="n">
        <v>71.8</v>
      </c>
      <c r="G383" s="31" t="n">
        <v>16.5</v>
      </c>
      <c r="H383" s="31" t="n">
        <v>40</v>
      </c>
      <c r="I383" s="31"/>
      <c r="J383" s="31"/>
      <c r="K383" s="31"/>
      <c r="L383" s="31"/>
      <c r="M383" s="31"/>
      <c r="N383" s="31"/>
      <c r="O383" s="31" t="n">
        <v>47</v>
      </c>
      <c r="P383" s="31" t="n">
        <v>1</v>
      </c>
      <c r="Q383" s="12" t="n">
        <f aca="false">IF(P383=1,SUM(F383:M383)+N383,"")</f>
        <v>128.3</v>
      </c>
      <c r="R383" s="38" t="n">
        <f aca="false">IF(AND(P383=1,ISNUMBER(E383)),Q383-E383,"")</f>
        <v>-0.0999999999999943</v>
      </c>
      <c r="S383" s="31" t="n">
        <v>0</v>
      </c>
      <c r="T383" s="27" t="s">
        <v>385</v>
      </c>
    </row>
    <row r="384" customFormat="false" ht="15" hidden="false" customHeight="false" outlineLevel="0" collapsed="false">
      <c r="A384" s="31" t="n">
        <v>2026</v>
      </c>
      <c r="B384" s="31" t="n">
        <v>74</v>
      </c>
      <c r="C384" s="27" t="s">
        <v>229</v>
      </c>
      <c r="D384" s="27" t="s">
        <v>363</v>
      </c>
      <c r="E384" s="31" t="n">
        <v>123.9</v>
      </c>
      <c r="F384" s="31" t="n">
        <v>55.3</v>
      </c>
      <c r="G384" s="31" t="n">
        <v>18.6</v>
      </c>
      <c r="H384" s="31" t="n">
        <v>50</v>
      </c>
      <c r="I384" s="31"/>
      <c r="J384" s="31"/>
      <c r="K384" s="31"/>
      <c r="L384" s="31"/>
      <c r="M384" s="31"/>
      <c r="N384" s="31"/>
      <c r="O384" s="31" t="n">
        <v>77</v>
      </c>
      <c r="P384" s="31" t="n">
        <v>1</v>
      </c>
      <c r="Q384" s="12" t="n">
        <f aca="false">IF(P384=1,SUM(F384:M384)+N384,"")</f>
        <v>123.9</v>
      </c>
      <c r="R384" s="38" t="n">
        <f aca="false">IF(AND(P384=1,ISNUMBER(E384)),Q384-E384,"")</f>
        <v>0</v>
      </c>
      <c r="S384" s="31" t="n">
        <v>0</v>
      </c>
      <c r="T384" s="27" t="s">
        <v>385</v>
      </c>
    </row>
    <row r="385" customFormat="false" ht="15" hidden="false" customHeight="false" outlineLevel="0" collapsed="false">
      <c r="A385" s="31" t="n">
        <v>2026</v>
      </c>
      <c r="B385" s="31" t="n">
        <v>75</v>
      </c>
      <c r="C385" s="27" t="s">
        <v>230</v>
      </c>
      <c r="D385" s="27" t="s">
        <v>363</v>
      </c>
      <c r="E385" s="31" t="n">
        <v>123.3</v>
      </c>
      <c r="F385" s="31" t="n">
        <v>42.6</v>
      </c>
      <c r="G385" s="31" t="n">
        <v>15.6</v>
      </c>
      <c r="H385" s="31" t="n">
        <v>65</v>
      </c>
      <c r="I385" s="31"/>
      <c r="J385" s="31"/>
      <c r="K385" s="31"/>
      <c r="L385" s="31"/>
      <c r="M385" s="31"/>
      <c r="N385" s="31"/>
      <c r="O385" s="31" t="n">
        <v>16</v>
      </c>
      <c r="P385" s="31" t="n">
        <v>1</v>
      </c>
      <c r="Q385" s="12" t="n">
        <f aca="false">IF(P385=1,SUM(F385:M385)+N385,"")</f>
        <v>123.2</v>
      </c>
      <c r="R385" s="38" t="n">
        <f aca="false">IF(AND(P385=1,ISNUMBER(E385)),Q385-E385,"")</f>
        <v>-0.0999999999999943</v>
      </c>
      <c r="S385" s="31" t="n">
        <v>0</v>
      </c>
      <c r="T385" s="27" t="s">
        <v>385</v>
      </c>
    </row>
    <row r="386" customFormat="false" ht="15" hidden="false" customHeight="false" outlineLevel="0" collapsed="false">
      <c r="A386" s="31" t="n">
        <v>2026</v>
      </c>
      <c r="B386" s="31" t="n">
        <v>76</v>
      </c>
      <c r="C386" s="27" t="s">
        <v>231</v>
      </c>
      <c r="D386" s="27" t="s">
        <v>363</v>
      </c>
      <c r="E386" s="31" t="n">
        <v>122.7</v>
      </c>
      <c r="F386" s="31" t="n">
        <v>67.5</v>
      </c>
      <c r="G386" s="31" t="n">
        <v>15.2</v>
      </c>
      <c r="H386" s="31" t="n">
        <v>40</v>
      </c>
      <c r="I386" s="31"/>
      <c r="J386" s="31"/>
      <c r="K386" s="31"/>
      <c r="L386" s="31"/>
      <c r="M386" s="31"/>
      <c r="N386" s="31"/>
      <c r="O386" s="31" t="n">
        <v>58</v>
      </c>
      <c r="P386" s="31" t="n">
        <v>1</v>
      </c>
      <c r="Q386" s="12" t="n">
        <f aca="false">IF(P386=1,SUM(F386:M386)+N386,"")</f>
        <v>122.7</v>
      </c>
      <c r="R386" s="38" t="n">
        <f aca="false">IF(AND(P386=1,ISNUMBER(E386)),Q386-E386,"")</f>
        <v>0</v>
      </c>
      <c r="S386" s="31" t="n">
        <v>0</v>
      </c>
      <c r="T386" s="27" t="s">
        <v>385</v>
      </c>
    </row>
    <row r="387" customFormat="false" ht="15" hidden="false" customHeight="false" outlineLevel="0" collapsed="false">
      <c r="A387" s="31" t="n">
        <v>2026</v>
      </c>
      <c r="B387" s="31" t="n">
        <v>77</v>
      </c>
      <c r="C387" s="27" t="s">
        <v>232</v>
      </c>
      <c r="D387" s="27" t="s">
        <v>363</v>
      </c>
      <c r="E387" s="31" t="n">
        <v>118.2</v>
      </c>
      <c r="F387" s="31" t="n">
        <v>60.4</v>
      </c>
      <c r="G387" s="31" t="n">
        <v>17.9</v>
      </c>
      <c r="H387" s="31" t="n">
        <v>40</v>
      </c>
      <c r="I387" s="31"/>
      <c r="J387" s="31"/>
      <c r="K387" s="31"/>
      <c r="L387" s="31"/>
      <c r="M387" s="31"/>
      <c r="N387" s="31"/>
      <c r="O387" s="31" t="n">
        <v>80</v>
      </c>
      <c r="P387" s="31" t="n">
        <v>1</v>
      </c>
      <c r="Q387" s="12" t="n">
        <f aca="false">IF(P387=1,SUM(F387:M387)+N387,"")</f>
        <v>118.3</v>
      </c>
      <c r="R387" s="38" t="n">
        <f aca="false">IF(AND(P387=1,ISNUMBER(E387)),Q387-E387,"")</f>
        <v>0.0999999999999943</v>
      </c>
      <c r="S387" s="31" t="n">
        <v>0</v>
      </c>
      <c r="T387" s="27" t="s">
        <v>385</v>
      </c>
    </row>
    <row r="388" customFormat="false" ht="15" hidden="false" customHeight="false" outlineLevel="0" collapsed="false">
      <c r="A388" s="31" t="n">
        <v>2026</v>
      </c>
      <c r="B388" s="31" t="n">
        <v>78</v>
      </c>
      <c r="C388" s="27" t="s">
        <v>233</v>
      </c>
      <c r="D388" s="27" t="s">
        <v>363</v>
      </c>
      <c r="E388" s="31" t="n">
        <v>116.6</v>
      </c>
      <c r="F388" s="31" t="n">
        <v>62.7</v>
      </c>
      <c r="G388" s="31" t="n">
        <v>18.9</v>
      </c>
      <c r="H388" s="31" t="n">
        <v>35</v>
      </c>
      <c r="I388" s="31"/>
      <c r="J388" s="31"/>
      <c r="K388" s="31"/>
      <c r="L388" s="31"/>
      <c r="M388" s="31"/>
      <c r="N388" s="31"/>
      <c r="O388" s="31" t="n">
        <v>12</v>
      </c>
      <c r="P388" s="31" t="n">
        <v>1</v>
      </c>
      <c r="Q388" s="12" t="n">
        <f aca="false">IF(P388=1,SUM(F388:M388)+N388,"")</f>
        <v>116.6</v>
      </c>
      <c r="R388" s="38" t="n">
        <f aca="false">IF(AND(P388=1,ISNUMBER(E388)),Q388-E388,"")</f>
        <v>0</v>
      </c>
      <c r="S388" s="31" t="n">
        <v>0</v>
      </c>
      <c r="T388" s="27" t="s">
        <v>385</v>
      </c>
    </row>
    <row r="389" customFormat="false" ht="15" hidden="false" customHeight="false" outlineLevel="0" collapsed="false">
      <c r="A389" s="31" t="n">
        <v>2026</v>
      </c>
      <c r="B389" s="31" t="n">
        <v>79</v>
      </c>
      <c r="C389" s="27" t="s">
        <v>234</v>
      </c>
      <c r="D389" s="27" t="s">
        <v>363</v>
      </c>
      <c r="E389" s="31" t="n">
        <v>106.4</v>
      </c>
      <c r="F389" s="31" t="n">
        <v>2.5</v>
      </c>
      <c r="G389" s="31" t="n">
        <v>48.9</v>
      </c>
      <c r="H389" s="31" t="n">
        <v>55</v>
      </c>
      <c r="I389" s="31"/>
      <c r="J389" s="31"/>
      <c r="K389" s="31"/>
      <c r="L389" s="31"/>
      <c r="M389" s="31"/>
      <c r="N389" s="31"/>
      <c r="O389" s="31" t="n">
        <v>117</v>
      </c>
      <c r="P389" s="31" t="n">
        <v>1</v>
      </c>
      <c r="Q389" s="12" t="n">
        <f aca="false">IF(P389=1,SUM(F389:M389)+N389,"")</f>
        <v>106.4</v>
      </c>
      <c r="R389" s="38" t="n">
        <f aca="false">IF(AND(P389=1,ISNUMBER(E389)),Q389-E389,"")</f>
        <v>0</v>
      </c>
      <c r="S389" s="31" t="n">
        <v>0</v>
      </c>
      <c r="T389" s="27" t="s">
        <v>385</v>
      </c>
    </row>
    <row r="390" customFormat="false" ht="15" hidden="false" customHeight="false" outlineLevel="0" collapsed="false">
      <c r="A390" s="31" t="n">
        <v>2026</v>
      </c>
      <c r="B390" s="31" t="n">
        <v>80</v>
      </c>
      <c r="C390" s="27" t="s">
        <v>235</v>
      </c>
      <c r="D390" s="27" t="s">
        <v>363</v>
      </c>
      <c r="E390" s="31" t="n">
        <v>105.5</v>
      </c>
      <c r="F390" s="31" t="n">
        <v>65.9</v>
      </c>
      <c r="G390" s="31" t="n">
        <v>14.6</v>
      </c>
      <c r="H390" s="31" t="n">
        <v>25</v>
      </c>
      <c r="I390" s="31"/>
      <c r="J390" s="31"/>
      <c r="K390" s="31"/>
      <c r="L390" s="31"/>
      <c r="M390" s="31"/>
      <c r="N390" s="31"/>
      <c r="O390" s="31" t="n">
        <v>52</v>
      </c>
      <c r="P390" s="31" t="n">
        <v>1</v>
      </c>
      <c r="Q390" s="12" t="n">
        <f aca="false">IF(P390=1,SUM(F390:M390)+N390,"")</f>
        <v>105.5</v>
      </c>
      <c r="R390" s="38" t="n">
        <f aca="false">IF(AND(P390=1,ISNUMBER(E390)),Q390-E390,"")</f>
        <v>0</v>
      </c>
      <c r="S390" s="31" t="n">
        <v>0</v>
      </c>
      <c r="T390" s="27" t="s">
        <v>385</v>
      </c>
    </row>
    <row r="391" customFormat="false" ht="15" hidden="false" customHeight="false" outlineLevel="0" collapsed="false">
      <c r="A391" s="31" t="n">
        <v>2026</v>
      </c>
      <c r="B391" s="31" t="n">
        <v>81</v>
      </c>
      <c r="C391" s="27" t="s">
        <v>236</v>
      </c>
      <c r="D391" s="27" t="s">
        <v>363</v>
      </c>
      <c r="E391" s="31" t="n">
        <v>95.8</v>
      </c>
      <c r="F391" s="31" t="n">
        <v>56.3</v>
      </c>
      <c r="G391" s="31" t="n">
        <v>14.5</v>
      </c>
      <c r="H391" s="31" t="n">
        <v>25</v>
      </c>
      <c r="I391" s="31"/>
      <c r="J391" s="31"/>
      <c r="K391" s="31"/>
      <c r="L391" s="31"/>
      <c r="M391" s="31"/>
      <c r="N391" s="31"/>
      <c r="O391" s="31" t="n">
        <v>40</v>
      </c>
      <c r="P391" s="31" t="n">
        <v>1</v>
      </c>
      <c r="Q391" s="12" t="n">
        <f aca="false">IF(P391=1,SUM(F391:M391)+N391,"")</f>
        <v>95.8</v>
      </c>
      <c r="R391" s="38" t="n">
        <f aca="false">IF(AND(P391=1,ISNUMBER(E391)),Q391-E391,"")</f>
        <v>0</v>
      </c>
      <c r="S391" s="31" t="n">
        <v>0</v>
      </c>
      <c r="T391" s="27" t="s">
        <v>385</v>
      </c>
    </row>
    <row r="392" customFormat="false" ht="15" hidden="false" customHeight="false" outlineLevel="0" collapsed="false">
      <c r="A392" s="31" t="n">
        <v>2026</v>
      </c>
      <c r="B392" s="31" t="n">
        <v>82</v>
      </c>
      <c r="C392" s="27" t="s">
        <v>237</v>
      </c>
      <c r="D392" s="27" t="s">
        <v>363</v>
      </c>
      <c r="E392" s="31" t="n">
        <v>93.4</v>
      </c>
      <c r="F392" s="31" t="n">
        <v>26.6</v>
      </c>
      <c r="G392" s="31" t="n">
        <v>36.8</v>
      </c>
      <c r="H392" s="31" t="n">
        <v>30</v>
      </c>
      <c r="I392" s="31"/>
      <c r="J392" s="31"/>
      <c r="K392" s="31"/>
      <c r="L392" s="31"/>
      <c r="M392" s="31"/>
      <c r="N392" s="31"/>
      <c r="O392" s="31" t="n">
        <v>83</v>
      </c>
      <c r="P392" s="31" t="n">
        <v>1</v>
      </c>
      <c r="Q392" s="12" t="n">
        <f aca="false">IF(P392=1,SUM(F392:M392)+N392,"")</f>
        <v>93.4</v>
      </c>
      <c r="R392" s="38" t="n">
        <f aca="false">IF(AND(P392=1,ISNUMBER(E392)),Q392-E392,"")</f>
        <v>0</v>
      </c>
      <c r="S392" s="31" t="n">
        <v>0</v>
      </c>
      <c r="T392" s="27" t="s">
        <v>385</v>
      </c>
    </row>
    <row r="393" customFormat="false" ht="15" hidden="false" customHeight="false" outlineLevel="0" collapsed="false">
      <c r="A393" s="31" t="n">
        <v>2026</v>
      </c>
      <c r="B393" s="31" t="n">
        <v>83</v>
      </c>
      <c r="C393" s="27" t="s">
        <v>238</v>
      </c>
      <c r="D393" s="27" t="s">
        <v>363</v>
      </c>
      <c r="E393" s="31" t="n">
        <v>87.9</v>
      </c>
      <c r="F393" s="31" t="n">
        <v>34</v>
      </c>
      <c r="G393" s="31" t="n">
        <v>13.9</v>
      </c>
      <c r="H393" s="31" t="n">
        <v>40</v>
      </c>
      <c r="I393" s="31"/>
      <c r="J393" s="31"/>
      <c r="K393" s="31"/>
      <c r="L393" s="31"/>
      <c r="M393" s="31"/>
      <c r="N393" s="31"/>
      <c r="O393" s="31" t="n">
        <v>63</v>
      </c>
      <c r="P393" s="31" t="n">
        <v>1</v>
      </c>
      <c r="Q393" s="12" t="n">
        <f aca="false">IF(P393=1,SUM(F393:M393)+N393,"")</f>
        <v>87.9</v>
      </c>
      <c r="R393" s="38" t="n">
        <f aca="false">IF(AND(P393=1,ISNUMBER(E393)),Q393-E393,"")</f>
        <v>0</v>
      </c>
      <c r="S393" s="31" t="n">
        <v>0</v>
      </c>
      <c r="T393" s="27" t="s">
        <v>385</v>
      </c>
    </row>
    <row r="394" customFormat="false" ht="15" hidden="false" customHeight="false" outlineLevel="0" collapsed="false">
      <c r="A394" s="31" t="n">
        <v>2026</v>
      </c>
      <c r="B394" s="31" t="n">
        <v>84</v>
      </c>
      <c r="C394" s="27" t="s">
        <v>239</v>
      </c>
      <c r="D394" s="27" t="s">
        <v>363</v>
      </c>
      <c r="E394" s="31" t="n">
        <v>70.2</v>
      </c>
      <c r="F394" s="31"/>
      <c r="G394" s="31" t="n">
        <v>15.2</v>
      </c>
      <c r="H394" s="31" t="n">
        <v>55</v>
      </c>
      <c r="I394" s="31"/>
      <c r="J394" s="31"/>
      <c r="K394" s="31"/>
      <c r="L394" s="31"/>
      <c r="M394" s="31"/>
      <c r="N394" s="31"/>
      <c r="O394" s="31" t="n">
        <v>82</v>
      </c>
      <c r="P394" s="31" t="n">
        <v>1</v>
      </c>
      <c r="Q394" s="12" t="n">
        <f aca="false">IF(P394=1,SUM(F394:M394)+N394,"")</f>
        <v>70.2</v>
      </c>
      <c r="R394" s="38" t="n">
        <f aca="false">IF(AND(P394=1,ISNUMBER(E394)),Q394-E394,"")</f>
        <v>0</v>
      </c>
      <c r="S394" s="31" t="n">
        <v>0</v>
      </c>
      <c r="T394" s="27" t="s">
        <v>385</v>
      </c>
    </row>
    <row r="395" customFormat="false" ht="15" hidden="false" customHeight="false" outlineLevel="0" collapsed="false">
      <c r="A395" s="31" t="n">
        <v>2026</v>
      </c>
      <c r="B395" s="31" t="n">
        <v>85</v>
      </c>
      <c r="C395" s="27" t="s">
        <v>240</v>
      </c>
      <c r="D395" s="27" t="s">
        <v>363</v>
      </c>
      <c r="E395" s="31" t="n">
        <v>60.9</v>
      </c>
      <c r="F395" s="31" t="n">
        <v>10.9</v>
      </c>
      <c r="G395" s="31" t="n">
        <v>15</v>
      </c>
      <c r="H395" s="31" t="n">
        <v>35</v>
      </c>
      <c r="I395" s="31"/>
      <c r="J395" s="31"/>
      <c r="K395" s="31"/>
      <c r="L395" s="31"/>
      <c r="M395" s="31"/>
      <c r="N395" s="31"/>
      <c r="O395" s="31" t="n">
        <v>81</v>
      </c>
      <c r="P395" s="31" t="n">
        <v>1</v>
      </c>
      <c r="Q395" s="12" t="n">
        <f aca="false">IF(P395=1,SUM(F395:M395)+N395,"")</f>
        <v>60.9</v>
      </c>
      <c r="R395" s="38" t="n">
        <f aca="false">IF(AND(P395=1,ISNUMBER(E395)),Q395-E395,"")</f>
        <v>0</v>
      </c>
      <c r="S395" s="31" t="n">
        <v>0</v>
      </c>
      <c r="T395" s="27" t="s">
        <v>385</v>
      </c>
    </row>
    <row r="396" customFormat="false" ht="15" hidden="false" customHeight="false" outlineLevel="0" collapsed="false">
      <c r="A396" s="31" t="n">
        <v>2026</v>
      </c>
      <c r="B396" s="31" t="n">
        <v>86</v>
      </c>
      <c r="C396" s="27" t="s">
        <v>241</v>
      </c>
      <c r="D396" s="27" t="s">
        <v>363</v>
      </c>
      <c r="E396" s="31" t="n">
        <v>21.1</v>
      </c>
      <c r="F396" s="31"/>
      <c r="G396" s="31" t="n">
        <v>11.1</v>
      </c>
      <c r="H396" s="31" t="n">
        <v>10</v>
      </c>
      <c r="I396" s="31"/>
      <c r="J396" s="31"/>
      <c r="K396" s="31"/>
      <c r="L396" s="31"/>
      <c r="M396" s="31"/>
      <c r="N396" s="31"/>
      <c r="O396" s="31" t="n">
        <v>76</v>
      </c>
      <c r="P396" s="31" t="n">
        <v>1</v>
      </c>
      <c r="Q396" s="12" t="n">
        <f aca="false">IF(P396=1,SUM(F396:M396)+N396,"")</f>
        <v>21.1</v>
      </c>
      <c r="R396" s="38" t="n">
        <f aca="false">IF(AND(P396=1,ISNUMBER(E396)),Q396-E396,"")</f>
        <v>0</v>
      </c>
      <c r="S396" s="31" t="n">
        <v>0</v>
      </c>
      <c r="T396" s="27" t="s">
        <v>385</v>
      </c>
    </row>
    <row r="397" customFormat="false" ht="15" hidden="false" customHeight="false" outlineLevel="0" collapsed="false">
      <c r="A397" s="31" t="n">
        <v>2026</v>
      </c>
      <c r="B397" s="31" t="n">
        <v>87</v>
      </c>
      <c r="C397" s="27" t="s">
        <v>242</v>
      </c>
      <c r="D397" s="27" t="s">
        <v>363</v>
      </c>
      <c r="E397" s="31" t="n">
        <v>14.9</v>
      </c>
      <c r="F397" s="31"/>
      <c r="G397" s="31" t="n">
        <v>14.9</v>
      </c>
      <c r="H397" s="31"/>
      <c r="I397" s="31"/>
      <c r="J397" s="31"/>
      <c r="K397" s="31"/>
      <c r="L397" s="31"/>
      <c r="M397" s="31"/>
      <c r="N397" s="31"/>
      <c r="O397" s="31" t="n">
        <v>69</v>
      </c>
      <c r="P397" s="31" t="n">
        <v>1</v>
      </c>
      <c r="Q397" s="12" t="n">
        <f aca="false">IF(P397=1,SUM(F397:M397)+N397,"")</f>
        <v>14.9</v>
      </c>
      <c r="R397" s="38" t="n">
        <f aca="false">IF(AND(P397=1,ISNUMBER(E397)),Q397-E397,"")</f>
        <v>0</v>
      </c>
      <c r="S397" s="31" t="n">
        <v>0</v>
      </c>
      <c r="T397" s="27" t="s">
        <v>385</v>
      </c>
    </row>
    <row r="398" customFormat="false" ht="15" hidden="false" customHeight="false" outlineLevel="0" collapsed="false">
      <c r="A398" s="31" t="n">
        <v>2026</v>
      </c>
      <c r="B398" s="31" t="n">
        <v>88</v>
      </c>
      <c r="C398" s="27" t="s">
        <v>243</v>
      </c>
      <c r="D398" s="27" t="s">
        <v>363</v>
      </c>
      <c r="E398" s="31" t="n">
        <v>10</v>
      </c>
      <c r="F398" s="31" t="n">
        <v>2.5</v>
      </c>
      <c r="G398" s="31" t="n">
        <v>12.7</v>
      </c>
      <c r="H398" s="31" t="n">
        <v>10</v>
      </c>
      <c r="I398" s="31"/>
      <c r="J398" s="31"/>
      <c r="K398" s="31"/>
      <c r="L398" s="31"/>
      <c r="M398" s="31"/>
      <c r="N398" s="31" t="n">
        <v>-20</v>
      </c>
      <c r="O398" s="31" t="n">
        <v>59</v>
      </c>
      <c r="P398" s="31" t="n">
        <v>1</v>
      </c>
      <c r="Q398" s="12" t="n">
        <f aca="false">IF(P398=1,SUM(F398:M398)+N398,"")</f>
        <v>5.2</v>
      </c>
      <c r="R398" s="38" t="n">
        <f aca="false">IF(AND(P398=1,ISNUMBER(E398)),Q398-E398,"")</f>
        <v>-4.8</v>
      </c>
      <c r="S398" s="31" t="n">
        <v>0</v>
      </c>
      <c r="T398" s="27" t="s">
        <v>385</v>
      </c>
    </row>
    <row r="399" customFormat="false" ht="15" hidden="false" customHeight="false" outlineLevel="0" collapsed="false">
      <c r="A399" s="31" t="n">
        <v>2026</v>
      </c>
      <c r="B399" s="31"/>
      <c r="C399" s="27" t="s">
        <v>253</v>
      </c>
      <c r="D399" s="27" t="s">
        <v>386</v>
      </c>
      <c r="E399" s="31"/>
      <c r="F399" s="31"/>
      <c r="G399" s="31" t="n">
        <v>18.8</v>
      </c>
      <c r="H399" s="31"/>
      <c r="I399" s="31"/>
      <c r="J399" s="31"/>
      <c r="K399" s="31"/>
      <c r="L399" s="31"/>
      <c r="M399" s="31"/>
      <c r="N399" s="31"/>
      <c r="O399" s="31" t="n">
        <v>72</v>
      </c>
      <c r="P399" s="31" t="n">
        <v>0</v>
      </c>
      <c r="Q399" s="12" t="str">
        <f aca="false">IF(P399=1,SUM(F399:M399)+N399,"")</f>
        <v/>
      </c>
      <c r="R399" s="38" t="str">
        <f aca="false">IF(AND(P399=1,ISNUMBER(E399)),Q399-E399,"")</f>
        <v/>
      </c>
      <c r="S399" s="31" t="n">
        <v>0</v>
      </c>
      <c r="T399" s="27" t="s">
        <v>385</v>
      </c>
    </row>
    <row r="400" customFormat="false" ht="15" hidden="false" customHeight="false" outlineLevel="0" collapsed="false">
      <c r="A400" s="31" t="n">
        <v>2026</v>
      </c>
      <c r="B400" s="31"/>
      <c r="C400" s="27" t="s">
        <v>251</v>
      </c>
      <c r="D400" s="27" t="s">
        <v>386</v>
      </c>
      <c r="E400" s="31"/>
      <c r="F400" s="31"/>
      <c r="G400" s="31" t="n">
        <v>19.8</v>
      </c>
      <c r="H400" s="31"/>
      <c r="I400" s="31"/>
      <c r="J400" s="31"/>
      <c r="K400" s="31"/>
      <c r="L400" s="31"/>
      <c r="M400" s="31"/>
      <c r="N400" s="31"/>
      <c r="O400" s="31" t="n">
        <v>45</v>
      </c>
      <c r="P400" s="31" t="n">
        <v>0</v>
      </c>
      <c r="Q400" s="12" t="str">
        <f aca="false">IF(P400=1,SUM(F400:M400)+N400,"")</f>
        <v/>
      </c>
      <c r="R400" s="38" t="str">
        <f aca="false">IF(AND(P400=1,ISNUMBER(E400)),Q400-E400,"")</f>
        <v/>
      </c>
      <c r="S400" s="31" t="n">
        <v>0</v>
      </c>
      <c r="T400" s="27" t="s">
        <v>385</v>
      </c>
    </row>
    <row r="401" customFormat="false" ht="15" hidden="false" customHeight="false" outlineLevel="0" collapsed="false">
      <c r="A401" s="31" t="n">
        <v>2026</v>
      </c>
      <c r="B401" s="31"/>
      <c r="C401" s="27" t="s">
        <v>261</v>
      </c>
      <c r="D401" s="27" t="s">
        <v>386</v>
      </c>
      <c r="E401" s="31"/>
      <c r="F401" s="31"/>
      <c r="G401" s="31" t="n">
        <v>8.1</v>
      </c>
      <c r="H401" s="31"/>
      <c r="I401" s="31"/>
      <c r="J401" s="31"/>
      <c r="K401" s="31"/>
      <c r="L401" s="31"/>
      <c r="M401" s="31"/>
      <c r="N401" s="31"/>
      <c r="O401" s="31" t="n">
        <v>114</v>
      </c>
      <c r="P401" s="31" t="n">
        <v>0</v>
      </c>
      <c r="Q401" s="12" t="str">
        <f aca="false">IF(P401=1,SUM(F401:M401)+N401,"")</f>
        <v/>
      </c>
      <c r="R401" s="38" t="str">
        <f aca="false">IF(AND(P401=1,ISNUMBER(E401)),Q401-E401,"")</f>
        <v/>
      </c>
      <c r="S401" s="31" t="n">
        <v>0</v>
      </c>
      <c r="T401" s="27" t="s">
        <v>385</v>
      </c>
    </row>
    <row r="402" customFormat="false" ht="15" hidden="false" customHeight="false" outlineLevel="0" collapsed="false">
      <c r="A402" s="31" t="n">
        <v>2026</v>
      </c>
      <c r="B402" s="31"/>
      <c r="C402" s="27" t="s">
        <v>246</v>
      </c>
      <c r="D402" s="27" t="s">
        <v>386</v>
      </c>
      <c r="E402" s="31"/>
      <c r="F402" s="31"/>
      <c r="G402" s="31" t="n">
        <v>41.4</v>
      </c>
      <c r="H402" s="31"/>
      <c r="I402" s="31"/>
      <c r="J402" s="31"/>
      <c r="K402" s="31"/>
      <c r="L402" s="31"/>
      <c r="M402" s="31"/>
      <c r="N402" s="31"/>
      <c r="O402" s="31" t="n">
        <v>20</v>
      </c>
      <c r="P402" s="31" t="n">
        <v>0</v>
      </c>
      <c r="Q402" s="12" t="str">
        <f aca="false">IF(P402=1,SUM(F402:M402)+N402,"")</f>
        <v/>
      </c>
      <c r="R402" s="38" t="str">
        <f aca="false">IF(AND(P402=1,ISNUMBER(E402)),Q402-E402,"")</f>
        <v/>
      </c>
      <c r="S402" s="31" t="n">
        <v>0</v>
      </c>
      <c r="T402" s="27" t="s">
        <v>385</v>
      </c>
    </row>
    <row r="403" customFormat="false" ht="15" hidden="false" customHeight="false" outlineLevel="0" collapsed="false">
      <c r="A403" s="31" t="n">
        <v>2026</v>
      </c>
      <c r="B403" s="31"/>
      <c r="C403" s="27" t="s">
        <v>260</v>
      </c>
      <c r="D403" s="27" t="s">
        <v>386</v>
      </c>
      <c r="E403" s="31"/>
      <c r="F403" s="31"/>
      <c r="G403" s="31" t="n">
        <v>9.6</v>
      </c>
      <c r="H403" s="31"/>
      <c r="I403" s="31"/>
      <c r="J403" s="31"/>
      <c r="K403" s="31"/>
      <c r="L403" s="31"/>
      <c r="M403" s="31"/>
      <c r="N403" s="31"/>
      <c r="O403" s="31" t="n">
        <v>13</v>
      </c>
      <c r="P403" s="31" t="n">
        <v>0</v>
      </c>
      <c r="Q403" s="12" t="str">
        <f aca="false">IF(P403=1,SUM(F403:M403)+N403,"")</f>
        <v/>
      </c>
      <c r="R403" s="38" t="str">
        <f aca="false">IF(AND(P403=1,ISNUMBER(E403)),Q403-E403,"")</f>
        <v/>
      </c>
      <c r="S403" s="31" t="n">
        <v>0</v>
      </c>
      <c r="T403" s="27" t="s">
        <v>385</v>
      </c>
    </row>
    <row r="404" customFormat="false" ht="15" hidden="false" customHeight="false" outlineLevel="0" collapsed="false">
      <c r="A404" s="31" t="n">
        <v>2026</v>
      </c>
      <c r="B404" s="31"/>
      <c r="C404" s="27" t="s">
        <v>257</v>
      </c>
      <c r="D404" s="27" t="s">
        <v>386</v>
      </c>
      <c r="E404" s="31"/>
      <c r="F404" s="31"/>
      <c r="G404" s="31" t="n">
        <v>13.4</v>
      </c>
      <c r="H404" s="31"/>
      <c r="I404" s="31"/>
      <c r="J404" s="31"/>
      <c r="K404" s="31"/>
      <c r="L404" s="31"/>
      <c r="M404" s="31"/>
      <c r="N404" s="31"/>
      <c r="O404" s="31" t="n">
        <v>15</v>
      </c>
      <c r="P404" s="31" t="n">
        <v>0</v>
      </c>
      <c r="Q404" s="12" t="str">
        <f aca="false">IF(P404=1,SUM(F404:M404)+N404,"")</f>
        <v/>
      </c>
      <c r="R404" s="38" t="str">
        <f aca="false">IF(AND(P404=1,ISNUMBER(E404)),Q404-E404,"")</f>
        <v/>
      </c>
      <c r="S404" s="31" t="n">
        <v>0</v>
      </c>
      <c r="T404" s="27" t="s">
        <v>385</v>
      </c>
    </row>
    <row r="405" customFormat="false" ht="15" hidden="false" customHeight="false" outlineLevel="0" collapsed="false">
      <c r="A405" s="31" t="n">
        <v>2026</v>
      </c>
      <c r="B405" s="31"/>
      <c r="C405" s="27" t="s">
        <v>250</v>
      </c>
      <c r="D405" s="27" t="s">
        <v>386</v>
      </c>
      <c r="E405" s="31"/>
      <c r="F405" s="31"/>
      <c r="G405" s="31" t="n">
        <v>25</v>
      </c>
      <c r="H405" s="31"/>
      <c r="I405" s="31"/>
      <c r="J405" s="31"/>
      <c r="K405" s="31"/>
      <c r="L405" s="31"/>
      <c r="M405" s="31"/>
      <c r="N405" s="31"/>
      <c r="O405" s="31" t="n">
        <v>78</v>
      </c>
      <c r="P405" s="31" t="n">
        <v>0</v>
      </c>
      <c r="Q405" s="12" t="str">
        <f aca="false">IF(P405=1,SUM(F405:M405)+N405,"")</f>
        <v/>
      </c>
      <c r="R405" s="38" t="str">
        <f aca="false">IF(AND(P405=1,ISNUMBER(E405)),Q405-E405,"")</f>
        <v/>
      </c>
      <c r="S405" s="31" t="n">
        <v>0</v>
      </c>
      <c r="T405" s="27" t="s">
        <v>385</v>
      </c>
    </row>
    <row r="406" customFormat="false" ht="15" hidden="false" customHeight="false" outlineLevel="0" collapsed="false">
      <c r="A406" s="31" t="n">
        <v>2026</v>
      </c>
      <c r="B406" s="31"/>
      <c r="C406" s="27" t="s">
        <v>256</v>
      </c>
      <c r="D406" s="27" t="s">
        <v>386</v>
      </c>
      <c r="E406" s="31"/>
      <c r="F406" s="31"/>
      <c r="G406" s="31" t="n">
        <v>13.6</v>
      </c>
      <c r="H406" s="31"/>
      <c r="I406" s="31"/>
      <c r="J406" s="31"/>
      <c r="K406" s="31"/>
      <c r="L406" s="31"/>
      <c r="M406" s="31"/>
      <c r="N406" s="31"/>
      <c r="O406" s="31" t="n">
        <v>55</v>
      </c>
      <c r="P406" s="31" t="n">
        <v>0</v>
      </c>
      <c r="Q406" s="12" t="str">
        <f aca="false">IF(P406=1,SUM(F406:M406)+N406,"")</f>
        <v/>
      </c>
      <c r="R406" s="38" t="str">
        <f aca="false">IF(AND(P406=1,ISNUMBER(E406)),Q406-E406,"")</f>
        <v/>
      </c>
      <c r="S406" s="31" t="n">
        <v>0</v>
      </c>
      <c r="T406" s="27" t="s">
        <v>385</v>
      </c>
    </row>
    <row r="407" customFormat="false" ht="15" hidden="false" customHeight="false" outlineLevel="0" collapsed="false">
      <c r="A407" s="31" t="n">
        <v>2026</v>
      </c>
      <c r="B407" s="31"/>
      <c r="C407" s="27" t="s">
        <v>245</v>
      </c>
      <c r="D407" s="27" t="s">
        <v>386</v>
      </c>
      <c r="E407" s="31"/>
      <c r="F407" s="31"/>
      <c r="G407" s="31" t="n">
        <v>51.3</v>
      </c>
      <c r="H407" s="31"/>
      <c r="I407" s="31"/>
      <c r="J407" s="31"/>
      <c r="K407" s="31"/>
      <c r="L407" s="31"/>
      <c r="M407" s="31"/>
      <c r="N407" s="31"/>
      <c r="O407" s="31" t="n">
        <v>90</v>
      </c>
      <c r="P407" s="31" t="n">
        <v>0</v>
      </c>
      <c r="Q407" s="12" t="str">
        <f aca="false">IF(P407=1,SUM(F407:M407)+N407,"")</f>
        <v/>
      </c>
      <c r="R407" s="38" t="str">
        <f aca="false">IF(AND(P407=1,ISNUMBER(E407)),Q407-E407,"")</f>
        <v/>
      </c>
      <c r="S407" s="31" t="n">
        <v>0</v>
      </c>
      <c r="T407" s="27" t="s">
        <v>385</v>
      </c>
    </row>
    <row r="408" customFormat="false" ht="15" hidden="false" customHeight="false" outlineLevel="0" collapsed="false">
      <c r="A408" s="31" t="n">
        <v>2026</v>
      </c>
      <c r="B408" s="31"/>
      <c r="C408" s="27" t="s">
        <v>255</v>
      </c>
      <c r="D408" s="27" t="s">
        <v>386</v>
      </c>
      <c r="E408" s="31"/>
      <c r="F408" s="31"/>
      <c r="G408" s="31" t="n">
        <v>16.1</v>
      </c>
      <c r="H408" s="31"/>
      <c r="I408" s="31"/>
      <c r="J408" s="31"/>
      <c r="K408" s="31"/>
      <c r="L408" s="31"/>
      <c r="M408" s="31"/>
      <c r="N408" s="31"/>
      <c r="O408" s="31" t="n">
        <v>91</v>
      </c>
      <c r="P408" s="31" t="n">
        <v>0</v>
      </c>
      <c r="Q408" s="12" t="str">
        <f aca="false">IF(P408=1,SUM(F408:M408)+N408,"")</f>
        <v/>
      </c>
      <c r="R408" s="38" t="str">
        <f aca="false">IF(AND(P408=1,ISNUMBER(E408)),Q408-E408,"")</f>
        <v/>
      </c>
      <c r="S408" s="31" t="n">
        <v>0</v>
      </c>
      <c r="T408" s="27" t="s">
        <v>385</v>
      </c>
    </row>
    <row r="409" customFormat="false" ht="15" hidden="false" customHeight="false" outlineLevel="0" collapsed="false">
      <c r="A409" s="31" t="n">
        <v>2026</v>
      </c>
      <c r="B409" s="31"/>
      <c r="C409" s="27" t="s">
        <v>258</v>
      </c>
      <c r="D409" s="27" t="s">
        <v>386</v>
      </c>
      <c r="E409" s="31"/>
      <c r="F409" s="31"/>
      <c r="G409" s="31" t="n">
        <v>11.7</v>
      </c>
      <c r="H409" s="31"/>
      <c r="I409" s="31"/>
      <c r="J409" s="31"/>
      <c r="K409" s="31"/>
      <c r="L409" s="31"/>
      <c r="M409" s="31"/>
      <c r="N409" s="31"/>
      <c r="O409" s="31" t="n">
        <v>34</v>
      </c>
      <c r="P409" s="31" t="n">
        <v>0</v>
      </c>
      <c r="Q409" s="12" t="str">
        <f aca="false">IF(P409=1,SUM(F409:M409)+N409,"")</f>
        <v/>
      </c>
      <c r="R409" s="38" t="str">
        <f aca="false">IF(AND(P409=1,ISNUMBER(E409)),Q409-E409,"")</f>
        <v/>
      </c>
      <c r="S409" s="31" t="n">
        <v>0</v>
      </c>
      <c r="T409" s="27" t="s">
        <v>385</v>
      </c>
    </row>
    <row r="410" customFormat="false" ht="15" hidden="false" customHeight="false" outlineLevel="0" collapsed="false">
      <c r="A410" s="31" t="n">
        <v>2026</v>
      </c>
      <c r="B410" s="31"/>
      <c r="C410" s="27" t="s">
        <v>259</v>
      </c>
      <c r="D410" s="27" t="s">
        <v>386</v>
      </c>
      <c r="E410" s="31"/>
      <c r="F410" s="31"/>
      <c r="G410" s="31" t="n">
        <v>11.6</v>
      </c>
      <c r="H410" s="31"/>
      <c r="I410" s="31"/>
      <c r="J410" s="31"/>
      <c r="K410" s="31"/>
      <c r="L410" s="31"/>
      <c r="M410" s="31"/>
      <c r="N410" s="31"/>
      <c r="O410" s="31" t="n">
        <v>39</v>
      </c>
      <c r="P410" s="31" t="n">
        <v>0</v>
      </c>
      <c r="Q410" s="12" t="str">
        <f aca="false">IF(P410=1,SUM(F410:M410)+N410,"")</f>
        <v/>
      </c>
      <c r="R410" s="38" t="str">
        <f aca="false">IF(AND(P410=1,ISNUMBER(E410)),Q410-E410,"")</f>
        <v/>
      </c>
      <c r="S410" s="31" t="n">
        <v>0</v>
      </c>
      <c r="T410" s="27" t="s">
        <v>385</v>
      </c>
    </row>
    <row r="411" customFormat="false" ht="15" hidden="false" customHeight="false" outlineLevel="0" collapsed="false">
      <c r="A411" s="31" t="n">
        <v>2026</v>
      </c>
      <c r="B411" s="31"/>
      <c r="C411" s="27" t="s">
        <v>249</v>
      </c>
      <c r="D411" s="27" t="s">
        <v>386</v>
      </c>
      <c r="E411" s="31"/>
      <c r="F411" s="31"/>
      <c r="G411" s="31" t="n">
        <v>26</v>
      </c>
      <c r="H411" s="31"/>
      <c r="I411" s="31"/>
      <c r="J411" s="31"/>
      <c r="K411" s="31"/>
      <c r="L411" s="31"/>
      <c r="M411" s="31"/>
      <c r="N411" s="31"/>
      <c r="O411" s="31" t="n">
        <v>118</v>
      </c>
      <c r="P411" s="31" t="n">
        <v>0</v>
      </c>
      <c r="Q411" s="12" t="str">
        <f aca="false">IF(P411=1,SUM(F411:M411)+N411,"")</f>
        <v/>
      </c>
      <c r="R411" s="38" t="str">
        <f aca="false">IF(AND(P411=1,ISNUMBER(E411)),Q411-E411,"")</f>
        <v/>
      </c>
      <c r="S411" s="31" t="n">
        <v>0</v>
      </c>
      <c r="T411" s="27" t="s">
        <v>385</v>
      </c>
    </row>
    <row r="412" customFormat="false" ht="15" hidden="false" customHeight="false" outlineLevel="0" collapsed="false">
      <c r="A412" s="31" t="n">
        <v>2026</v>
      </c>
      <c r="B412" s="31"/>
      <c r="C412" s="27" t="s">
        <v>263</v>
      </c>
      <c r="D412" s="27" t="s">
        <v>386</v>
      </c>
      <c r="E412" s="31"/>
      <c r="F412" s="31"/>
      <c r="G412" s="31" t="n">
        <v>5</v>
      </c>
      <c r="H412" s="31"/>
      <c r="I412" s="31"/>
      <c r="J412" s="31"/>
      <c r="K412" s="31"/>
      <c r="L412" s="31"/>
      <c r="M412" s="31"/>
      <c r="N412" s="31"/>
      <c r="O412" s="31" t="n">
        <v>67</v>
      </c>
      <c r="P412" s="31" t="n">
        <v>0</v>
      </c>
      <c r="Q412" s="12" t="str">
        <f aca="false">IF(P412=1,SUM(F412:M412)+N412,"")</f>
        <v/>
      </c>
      <c r="R412" s="38" t="str">
        <f aca="false">IF(AND(P412=1,ISNUMBER(E412)),Q412-E412,"")</f>
        <v/>
      </c>
      <c r="S412" s="31" t="n">
        <v>0</v>
      </c>
      <c r="T412" s="27" t="s">
        <v>385</v>
      </c>
    </row>
    <row r="413" customFormat="false" ht="15" hidden="false" customHeight="false" outlineLevel="0" collapsed="false">
      <c r="A413" s="31" t="n">
        <v>2026</v>
      </c>
      <c r="B413" s="31"/>
      <c r="C413" s="27" t="s">
        <v>252</v>
      </c>
      <c r="D413" s="27" t="s">
        <v>386</v>
      </c>
      <c r="E413" s="31"/>
      <c r="F413" s="31"/>
      <c r="G413" s="31" t="n">
        <v>19.8</v>
      </c>
      <c r="H413" s="31"/>
      <c r="I413" s="31"/>
      <c r="J413" s="31"/>
      <c r="K413" s="31"/>
      <c r="L413" s="31"/>
      <c r="M413" s="31"/>
      <c r="N413" s="31"/>
      <c r="O413" s="31" t="n">
        <v>54</v>
      </c>
      <c r="P413" s="31" t="n">
        <v>0</v>
      </c>
      <c r="Q413" s="12" t="str">
        <f aca="false">IF(P413=1,SUM(F413:M413)+N413,"")</f>
        <v/>
      </c>
      <c r="R413" s="38" t="str">
        <f aca="false">IF(AND(P413=1,ISNUMBER(E413)),Q413-E413,"")</f>
        <v/>
      </c>
      <c r="S413" s="31" t="n">
        <v>0</v>
      </c>
      <c r="T413" s="27" t="s">
        <v>385</v>
      </c>
    </row>
    <row r="414" customFormat="false" ht="15" hidden="false" customHeight="false" outlineLevel="0" collapsed="false">
      <c r="A414" s="31" t="n">
        <v>2026</v>
      </c>
      <c r="B414" s="31"/>
      <c r="C414" s="27" t="s">
        <v>247</v>
      </c>
      <c r="D414" s="27" t="s">
        <v>386</v>
      </c>
      <c r="E414" s="31"/>
      <c r="F414" s="31"/>
      <c r="G414" s="31" t="n">
        <v>36.8</v>
      </c>
      <c r="H414" s="31"/>
      <c r="I414" s="31"/>
      <c r="J414" s="31"/>
      <c r="K414" s="31"/>
      <c r="L414" s="31"/>
      <c r="M414" s="31"/>
      <c r="N414" s="31"/>
      <c r="O414" s="31" t="n">
        <v>28</v>
      </c>
      <c r="P414" s="31" t="n">
        <v>0</v>
      </c>
      <c r="Q414" s="12" t="str">
        <f aca="false">IF(P414=1,SUM(F414:M414)+N414,"")</f>
        <v/>
      </c>
      <c r="R414" s="38" t="str">
        <f aca="false">IF(AND(P414=1,ISNUMBER(E414)),Q414-E414,"")</f>
        <v/>
      </c>
      <c r="S414" s="31" t="n">
        <v>0</v>
      </c>
      <c r="T414" s="27" t="s">
        <v>385</v>
      </c>
    </row>
    <row r="415" customFormat="false" ht="15" hidden="false" customHeight="false" outlineLevel="0" collapsed="false">
      <c r="A415" s="31" t="n">
        <v>2026</v>
      </c>
      <c r="B415" s="31"/>
      <c r="C415" s="27" t="s">
        <v>254</v>
      </c>
      <c r="D415" s="27" t="s">
        <v>386</v>
      </c>
      <c r="E415" s="31"/>
      <c r="F415" s="31"/>
      <c r="G415" s="31" t="n">
        <v>18</v>
      </c>
      <c r="H415" s="31"/>
      <c r="I415" s="31"/>
      <c r="J415" s="31"/>
      <c r="K415" s="31"/>
      <c r="L415" s="31"/>
      <c r="M415" s="31"/>
      <c r="N415" s="31"/>
      <c r="O415" s="31" t="n">
        <v>107</v>
      </c>
      <c r="P415" s="31" t="n">
        <v>0</v>
      </c>
      <c r="Q415" s="12" t="str">
        <f aca="false">IF(P415=1,SUM(F415:M415)+N415,"")</f>
        <v/>
      </c>
      <c r="R415" s="38" t="str">
        <f aca="false">IF(AND(P415=1,ISNUMBER(E415)),Q415-E415,"")</f>
        <v/>
      </c>
      <c r="S415" s="31" t="n">
        <v>0</v>
      </c>
      <c r="T415" s="27" t="s">
        <v>385</v>
      </c>
    </row>
    <row r="416" customFormat="false" ht="15" hidden="false" customHeight="false" outlineLevel="0" collapsed="false">
      <c r="A416" s="31" t="n">
        <v>2026</v>
      </c>
      <c r="B416" s="31"/>
      <c r="C416" s="27" t="s">
        <v>248</v>
      </c>
      <c r="D416" s="27" t="s">
        <v>386</v>
      </c>
      <c r="E416" s="31"/>
      <c r="F416" s="31"/>
      <c r="G416" s="31" t="n">
        <v>36</v>
      </c>
      <c r="H416" s="31"/>
      <c r="I416" s="31"/>
      <c r="J416" s="31"/>
      <c r="K416" s="31"/>
      <c r="L416" s="31"/>
      <c r="M416" s="31"/>
      <c r="N416" s="31"/>
      <c r="O416" s="31" t="n">
        <v>49</v>
      </c>
      <c r="P416" s="31" t="n">
        <v>0</v>
      </c>
      <c r="Q416" s="12" t="str">
        <f aca="false">IF(P416=1,SUM(F416:M416)+N416,"")</f>
        <v/>
      </c>
      <c r="R416" s="38" t="str">
        <f aca="false">IF(AND(P416=1,ISNUMBER(E416)),Q416-E416,"")</f>
        <v/>
      </c>
      <c r="S416" s="31" t="n">
        <v>0</v>
      </c>
      <c r="T416" s="27" t="s">
        <v>385</v>
      </c>
    </row>
    <row r="417" customFormat="false" ht="15" hidden="false" customHeight="false" outlineLevel="0" collapsed="false">
      <c r="A417" s="31" t="n">
        <v>2026</v>
      </c>
      <c r="B417" s="31"/>
      <c r="C417" s="27" t="s">
        <v>164</v>
      </c>
      <c r="D417" s="27" t="s">
        <v>386</v>
      </c>
      <c r="E417" s="31"/>
      <c r="F417" s="31"/>
      <c r="G417" s="31" t="n">
        <v>18.2</v>
      </c>
      <c r="H417" s="31"/>
      <c r="I417" s="31"/>
      <c r="J417" s="31"/>
      <c r="K417" s="31"/>
      <c r="L417" s="31"/>
      <c r="M417" s="31"/>
      <c r="N417" s="31"/>
      <c r="O417" s="31" t="n">
        <v>27</v>
      </c>
      <c r="P417" s="31" t="n">
        <v>0</v>
      </c>
      <c r="Q417" s="12" t="str">
        <f aca="false">IF(P417=1,SUM(F417:M417)+N417,"")</f>
        <v/>
      </c>
      <c r="R417" s="38" t="str">
        <f aca="false">IF(AND(P417=1,ISNUMBER(E417)),Q417-E417,"")</f>
        <v/>
      </c>
      <c r="S417" s="31" t="n">
        <v>0</v>
      </c>
      <c r="T417" s="27" t="s">
        <v>385</v>
      </c>
    </row>
    <row r="418" customFormat="false" ht="15" hidden="false" customHeight="false" outlineLevel="0" collapsed="false">
      <c r="A418" s="31" t="n">
        <v>2026</v>
      </c>
      <c r="B418" s="31"/>
      <c r="C418" s="27" t="s">
        <v>262</v>
      </c>
      <c r="D418" s="27" t="s">
        <v>386</v>
      </c>
      <c r="E418" s="31"/>
      <c r="F418" s="31"/>
      <c r="G418" s="31" t="n">
        <v>5</v>
      </c>
      <c r="H418" s="31"/>
      <c r="I418" s="31"/>
      <c r="J418" s="31"/>
      <c r="K418" s="31"/>
      <c r="L418" s="31"/>
      <c r="M418" s="31"/>
      <c r="N418" s="31"/>
      <c r="O418" s="31" t="n">
        <v>36</v>
      </c>
      <c r="P418" s="31" t="n">
        <v>0</v>
      </c>
      <c r="Q418" s="12" t="str">
        <f aca="false">IF(P418=1,SUM(F418:M418)+N418,"")</f>
        <v/>
      </c>
      <c r="R418" s="38" t="str">
        <f aca="false">IF(AND(P418=1,ISNUMBER(E418)),Q418-E418,"")</f>
        <v/>
      </c>
      <c r="S418" s="31" t="n">
        <v>0</v>
      </c>
      <c r="T418" s="27" t="s">
        <v>385</v>
      </c>
    </row>
  </sheetData>
  <autoFilter ref="A3:T418"/>
  <mergeCells count="2">
    <mergeCell ref="A1:T1"/>
    <mergeCell ref="A2:T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B45309"/>
    <pageSetUpPr fitToPage="tru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10"/>
    <col collapsed="false" customWidth="true" hidden="false" outlineLevel="0" max="2" min="2" style="0" width="11.99"/>
    <col collapsed="false" customWidth="true" hidden="false" outlineLevel="0" max="3" min="3" style="0" width="34"/>
    <col collapsed="false" customWidth="true" hidden="false" outlineLevel="0" max="5" min="4" style="0" width="14.01"/>
    <col collapsed="false" customWidth="true" hidden="false" outlineLevel="0" max="6" min="6" style="0" width="11.99"/>
    <col collapsed="false" customWidth="true" hidden="false" outlineLevel="0" max="7" min="7" style="0" width="60"/>
    <col collapsed="false" customWidth="true" hidden="false" outlineLevel="0" max="9" min="8" style="0" width="10"/>
  </cols>
  <sheetData>
    <row r="1" customFormat="false" ht="33.75" hidden="false" customHeight="true" outlineLevel="0" collapsed="false">
      <c r="A1" s="1" t="s">
        <v>387</v>
      </c>
      <c r="B1" s="1"/>
      <c r="C1" s="1"/>
      <c r="D1" s="1"/>
      <c r="E1" s="1"/>
      <c r="F1" s="1"/>
      <c r="G1" s="1"/>
      <c r="H1" s="1"/>
      <c r="I1" s="1"/>
    </row>
    <row r="2" customFormat="false" ht="24" hidden="false" customHeight="true" outlineLevel="0" collapsed="false">
      <c r="A2" s="2" t="s">
        <v>388</v>
      </c>
      <c r="B2" s="2"/>
      <c r="C2" s="2"/>
      <c r="D2" s="2"/>
      <c r="E2" s="2"/>
      <c r="F2" s="2"/>
      <c r="G2" s="2"/>
      <c r="H2" s="2"/>
      <c r="I2" s="2"/>
    </row>
    <row r="4" customFormat="false" ht="21.75" hidden="false" customHeight="true" outlineLevel="0" collapsed="false">
      <c r="A4" s="7" t="s">
        <v>389</v>
      </c>
      <c r="B4" s="7"/>
      <c r="C4" s="7"/>
      <c r="D4" s="7"/>
      <c r="E4" s="7"/>
      <c r="F4" s="7"/>
      <c r="G4" s="7"/>
      <c r="H4" s="7"/>
      <c r="I4" s="7"/>
    </row>
    <row r="5" customFormat="false" ht="31.5" hidden="false" customHeight="true" outlineLevel="0" collapsed="false">
      <c r="A5" s="8" t="s">
        <v>7</v>
      </c>
      <c r="B5" s="8" t="s">
        <v>9</v>
      </c>
      <c r="C5" s="8" t="s">
        <v>31</v>
      </c>
      <c r="D5" s="8" t="s">
        <v>390</v>
      </c>
      <c r="E5" s="8" t="s">
        <v>12</v>
      </c>
      <c r="F5" s="8" t="s">
        <v>112</v>
      </c>
      <c r="G5" s="8" t="s">
        <v>391</v>
      </c>
      <c r="H5" s="8" t="s">
        <v>392</v>
      </c>
    </row>
    <row r="6" customFormat="false" ht="15" hidden="false" customHeight="false" outlineLevel="0" collapsed="false">
      <c r="A6" s="9" t="n">
        <v>2022</v>
      </c>
      <c r="B6" s="31" t="n">
        <v>43</v>
      </c>
      <c r="C6" s="27" t="s">
        <v>33</v>
      </c>
      <c r="D6" s="12" t="n">
        <v>847</v>
      </c>
      <c r="E6" s="42" t="n">
        <v>245.25</v>
      </c>
      <c r="F6" s="31" t="n">
        <v>5</v>
      </c>
      <c r="G6" s="27" t="n">
        <v>0</v>
      </c>
      <c r="H6" s="12" t="n">
        <v>0.29</v>
      </c>
    </row>
    <row r="7" customFormat="false" ht="15" hidden="false" customHeight="false" outlineLevel="0" collapsed="false">
      <c r="A7" s="9" t="n">
        <v>2023</v>
      </c>
      <c r="B7" s="31" t="n">
        <v>61</v>
      </c>
      <c r="C7" s="27" t="s">
        <v>34</v>
      </c>
      <c r="D7" s="12" t="n">
        <v>919.1</v>
      </c>
      <c r="E7" s="42" t="n">
        <v>281.09</v>
      </c>
      <c r="F7" s="31" t="n">
        <v>2</v>
      </c>
      <c r="G7" s="27" t="n">
        <v>0</v>
      </c>
      <c r="H7" s="12" t="n">
        <v>0.08</v>
      </c>
    </row>
    <row r="8" customFormat="false" ht="15" hidden="false" customHeight="false" outlineLevel="0" collapsed="false">
      <c r="A8" s="9" t="n">
        <v>2024</v>
      </c>
      <c r="B8" s="31" t="n">
        <v>70</v>
      </c>
      <c r="C8" s="27" t="s">
        <v>35</v>
      </c>
      <c r="D8" s="12" t="n">
        <v>760.6</v>
      </c>
      <c r="E8" s="42" t="n">
        <v>323.4</v>
      </c>
      <c r="F8" s="31" t="n">
        <v>14</v>
      </c>
      <c r="G8" s="27" t="n">
        <v>2</v>
      </c>
      <c r="H8" s="12" t="n">
        <v>39.8</v>
      </c>
    </row>
    <row r="9" customFormat="false" ht="15" hidden="false" customHeight="false" outlineLevel="0" collapsed="false">
      <c r="A9" s="9" t="n">
        <v>2025</v>
      </c>
      <c r="B9" s="31" t="n">
        <v>78</v>
      </c>
      <c r="C9" s="27" t="s">
        <v>36</v>
      </c>
      <c r="D9" s="12" t="n">
        <v>790.4</v>
      </c>
      <c r="E9" s="42" t="n">
        <v>279.87</v>
      </c>
      <c r="F9" s="31" t="n">
        <v>13</v>
      </c>
      <c r="G9" s="27" t="n">
        <v>0</v>
      </c>
      <c r="H9" s="12" t="n">
        <v>0.12</v>
      </c>
    </row>
    <row r="10" customFormat="false" ht="15" hidden="false" customHeight="false" outlineLevel="0" collapsed="false">
      <c r="A10" s="9" t="n">
        <v>2026</v>
      </c>
      <c r="B10" s="31" t="n">
        <v>88</v>
      </c>
      <c r="C10" s="27" t="s">
        <v>36</v>
      </c>
      <c r="D10" s="12" t="n">
        <v>895.5</v>
      </c>
      <c r="E10" s="42" t="n">
        <v>298.66</v>
      </c>
      <c r="F10" s="31" t="n">
        <v>4</v>
      </c>
      <c r="G10" s="27" t="n">
        <v>1</v>
      </c>
      <c r="H10" s="12" t="n">
        <v>4.8</v>
      </c>
    </row>
    <row r="12" customFormat="false" ht="21.75" hidden="false" customHeight="true" outlineLevel="0" collapsed="false">
      <c r="A12" s="7" t="s">
        <v>393</v>
      </c>
      <c r="B12" s="7"/>
      <c r="C12" s="7"/>
      <c r="D12" s="7"/>
      <c r="E12" s="7"/>
      <c r="F12" s="7"/>
      <c r="G12" s="7"/>
      <c r="H12" s="7"/>
      <c r="I12" s="7"/>
    </row>
    <row r="13" customFormat="false" ht="31.5" hidden="false" customHeight="true" outlineLevel="0" collapsed="false">
      <c r="A13" s="8" t="s">
        <v>7</v>
      </c>
      <c r="B13" s="8" t="s">
        <v>8</v>
      </c>
      <c r="C13" s="8" t="s">
        <v>145</v>
      </c>
      <c r="D13" s="8" t="s">
        <v>394</v>
      </c>
      <c r="E13" s="8" t="s">
        <v>179</v>
      </c>
      <c r="F13" s="8" t="s">
        <v>395</v>
      </c>
    </row>
    <row r="14" customFormat="false" ht="15" hidden="false" customHeight="false" outlineLevel="0" collapsed="false">
      <c r="A14" s="31" t="n">
        <v>2024</v>
      </c>
      <c r="B14" s="31" t="n">
        <v>70</v>
      </c>
      <c r="C14" s="27" t="s">
        <v>396</v>
      </c>
      <c r="D14" s="12" t="n">
        <v>30</v>
      </c>
      <c r="E14" s="12" t="n">
        <v>-9.8</v>
      </c>
      <c r="F14" s="12" t="n">
        <v>-39.8</v>
      </c>
    </row>
    <row r="15" customFormat="false" ht="15" hidden="false" customHeight="false" outlineLevel="0" collapsed="false">
      <c r="A15" s="31" t="n">
        <v>2024</v>
      </c>
      <c r="B15" s="31" t="n">
        <v>8</v>
      </c>
      <c r="C15" s="27" t="s">
        <v>397</v>
      </c>
      <c r="D15" s="12" t="n">
        <v>687.6</v>
      </c>
      <c r="E15" s="12" t="n">
        <v>685</v>
      </c>
      <c r="F15" s="12" t="n">
        <v>-2.6</v>
      </c>
    </row>
    <row r="16" customFormat="false" ht="15" hidden="false" customHeight="false" outlineLevel="0" collapsed="false">
      <c r="A16" s="31" t="n">
        <v>2026</v>
      </c>
      <c r="B16" s="31" t="n">
        <v>88</v>
      </c>
      <c r="C16" s="27" t="s">
        <v>243</v>
      </c>
      <c r="D16" s="12" t="n">
        <v>10</v>
      </c>
      <c r="E16" s="12" t="n">
        <v>5.2</v>
      </c>
      <c r="F16" s="12" t="n">
        <v>-4.8</v>
      </c>
    </row>
    <row r="17" customFormat="false" ht="15" hidden="false" customHeight="false" outlineLevel="0" collapsed="false">
      <c r="A17" s="31"/>
      <c r="B17" s="31"/>
      <c r="C17" s="27"/>
      <c r="D17" s="12"/>
      <c r="E17" s="12"/>
      <c r="F17" s="12"/>
    </row>
    <row r="18" customFormat="false" ht="15" hidden="false" customHeight="false" outlineLevel="0" collapsed="false">
      <c r="A18" s="31"/>
      <c r="B18" s="31"/>
      <c r="C18" s="27"/>
      <c r="D18" s="12"/>
      <c r="E18" s="12"/>
      <c r="F18" s="12"/>
    </row>
    <row r="19" customFormat="false" ht="15" hidden="false" customHeight="false" outlineLevel="0" collapsed="false">
      <c r="A19" s="31"/>
      <c r="B19" s="31"/>
      <c r="C19" s="27"/>
      <c r="D19" s="12"/>
      <c r="E19" s="12"/>
      <c r="F19" s="12"/>
    </row>
    <row r="20" customFormat="false" ht="15" hidden="false" customHeight="false" outlineLevel="0" collapsed="false">
      <c r="A20" s="31"/>
      <c r="B20" s="31"/>
      <c r="C20" s="27"/>
      <c r="D20" s="12"/>
      <c r="E20" s="12"/>
      <c r="F20" s="12"/>
    </row>
    <row r="21" customFormat="false" ht="15" hidden="false" customHeight="false" outlineLevel="0" collapsed="false">
      <c r="A21" s="31"/>
      <c r="B21" s="31"/>
      <c r="C21" s="27"/>
      <c r="D21" s="12"/>
      <c r="E21" s="12"/>
      <c r="F21" s="12"/>
    </row>
    <row r="22" customFormat="false" ht="15" hidden="false" customHeight="false" outlineLevel="0" collapsed="false">
      <c r="A22" s="31"/>
      <c r="B22" s="31"/>
      <c r="C22" s="27"/>
      <c r="D22" s="12"/>
      <c r="E22" s="12"/>
      <c r="F22" s="12"/>
    </row>
    <row r="23" customFormat="false" ht="15" hidden="false" customHeight="false" outlineLevel="0" collapsed="false">
      <c r="A23" s="31"/>
      <c r="B23" s="31"/>
      <c r="C23" s="27"/>
      <c r="D23" s="12"/>
      <c r="E23" s="12"/>
      <c r="F23" s="12"/>
    </row>
    <row r="24" customFormat="false" ht="15" hidden="false" customHeight="false" outlineLevel="0" collapsed="false">
      <c r="A24" s="31"/>
      <c r="B24" s="31"/>
      <c r="C24" s="27"/>
      <c r="D24" s="12"/>
      <c r="E24" s="12"/>
      <c r="F24" s="12"/>
    </row>
    <row r="25" customFormat="false" ht="15" hidden="false" customHeight="false" outlineLevel="0" collapsed="false">
      <c r="A25" s="31"/>
      <c r="B25" s="31"/>
      <c r="C25" s="27"/>
      <c r="D25" s="12"/>
      <c r="E25" s="12"/>
      <c r="F25" s="12"/>
    </row>
    <row r="26" customFormat="false" ht="15" hidden="false" customHeight="false" outlineLevel="0" collapsed="false">
      <c r="A26" s="31"/>
      <c r="B26" s="31"/>
      <c r="C26" s="27"/>
      <c r="D26" s="12"/>
      <c r="E26" s="12"/>
      <c r="F26" s="12"/>
    </row>
    <row r="27" customFormat="false" ht="15" hidden="false" customHeight="false" outlineLevel="0" collapsed="false">
      <c r="A27" s="31"/>
      <c r="B27" s="31"/>
      <c r="C27" s="27"/>
      <c r="D27" s="12"/>
      <c r="E27" s="12"/>
      <c r="F27" s="12"/>
    </row>
    <row r="28" customFormat="false" ht="15" hidden="false" customHeight="false" outlineLevel="0" collapsed="false">
      <c r="A28" s="31"/>
      <c r="B28" s="31"/>
      <c r="C28" s="27"/>
      <c r="D28" s="12"/>
      <c r="E28" s="12"/>
      <c r="F28" s="12"/>
    </row>
    <row r="29" customFormat="false" ht="15" hidden="false" customHeight="false" outlineLevel="0" collapsed="false">
      <c r="A29" s="31"/>
      <c r="B29" s="31"/>
      <c r="C29" s="27"/>
      <c r="D29" s="12"/>
      <c r="E29" s="12"/>
      <c r="F29" s="12"/>
    </row>
    <row r="30" customFormat="false" ht="49.5" hidden="false" customHeight="true" outlineLevel="0" collapsed="false">
      <c r="A30" s="24" t="s">
        <v>398</v>
      </c>
      <c r="B30" s="24"/>
      <c r="C30" s="24"/>
      <c r="D30" s="24"/>
      <c r="E30" s="24"/>
      <c r="F30" s="24"/>
      <c r="G30" s="24"/>
      <c r="H30" s="24"/>
      <c r="I30" s="24"/>
    </row>
    <row r="32" customFormat="false" ht="21.75" hidden="false" customHeight="true" outlineLevel="0" collapsed="false">
      <c r="A32" s="7" t="s">
        <v>399</v>
      </c>
      <c r="B32" s="7"/>
      <c r="C32" s="7"/>
      <c r="D32" s="7"/>
      <c r="E32" s="7"/>
      <c r="F32" s="7"/>
      <c r="G32" s="7"/>
      <c r="H32" s="7"/>
      <c r="I32" s="7"/>
    </row>
    <row r="33" customFormat="false" ht="43.5" hidden="false" customHeight="true" outlineLevel="0" collapsed="false">
      <c r="A33" s="47" t="s">
        <v>400</v>
      </c>
      <c r="B33" s="47"/>
      <c r="C33" s="48" t="s">
        <v>401</v>
      </c>
      <c r="D33" s="48"/>
      <c r="E33" s="48"/>
      <c r="F33" s="48"/>
      <c r="G33" s="48"/>
      <c r="H33" s="48"/>
      <c r="I33" s="48"/>
    </row>
    <row r="34" customFormat="false" ht="43.5" hidden="false" customHeight="true" outlineLevel="0" collapsed="false">
      <c r="A34" s="47" t="s">
        <v>402</v>
      </c>
      <c r="B34" s="47"/>
      <c r="C34" s="48" t="s">
        <v>403</v>
      </c>
      <c r="D34" s="48"/>
      <c r="E34" s="48"/>
      <c r="F34" s="48"/>
      <c r="G34" s="48"/>
      <c r="H34" s="48"/>
      <c r="I34" s="48"/>
    </row>
    <row r="35" customFormat="false" ht="43.5" hidden="false" customHeight="true" outlineLevel="0" collapsed="false">
      <c r="A35" s="47" t="s">
        <v>404</v>
      </c>
      <c r="B35" s="47"/>
      <c r="C35" s="48" t="s">
        <v>405</v>
      </c>
      <c r="D35" s="48"/>
      <c r="E35" s="48"/>
      <c r="F35" s="48"/>
      <c r="G35" s="48"/>
      <c r="H35" s="48"/>
      <c r="I35" s="48"/>
    </row>
    <row r="36" customFormat="false" ht="43.5" hidden="false" customHeight="true" outlineLevel="0" collapsed="false">
      <c r="A36" s="47" t="s">
        <v>406</v>
      </c>
      <c r="B36" s="47"/>
      <c r="C36" s="48" t="s">
        <v>407</v>
      </c>
      <c r="D36" s="48"/>
      <c r="E36" s="48"/>
      <c r="F36" s="48"/>
      <c r="G36" s="48"/>
      <c r="H36" s="48"/>
      <c r="I36" s="48"/>
    </row>
    <row r="37" customFormat="false" ht="43.5" hidden="false" customHeight="true" outlineLevel="0" collapsed="false">
      <c r="A37" s="47" t="s">
        <v>408</v>
      </c>
      <c r="B37" s="47"/>
      <c r="C37" s="48" t="s">
        <v>409</v>
      </c>
      <c r="D37" s="48"/>
      <c r="E37" s="48"/>
      <c r="F37" s="48"/>
      <c r="G37" s="48"/>
      <c r="H37" s="48"/>
      <c r="I37" s="48"/>
    </row>
    <row r="38" customFormat="false" ht="43.5" hidden="false" customHeight="true" outlineLevel="0" collapsed="false">
      <c r="A38" s="47" t="s">
        <v>410</v>
      </c>
      <c r="B38" s="47"/>
      <c r="C38" s="48" t="s">
        <v>411</v>
      </c>
      <c r="D38" s="48"/>
      <c r="E38" s="48"/>
      <c r="F38" s="48"/>
      <c r="G38" s="48"/>
      <c r="H38" s="48"/>
      <c r="I38" s="48"/>
    </row>
    <row r="39" customFormat="false" ht="43.5" hidden="false" customHeight="true" outlineLevel="0" collapsed="false">
      <c r="A39" s="47" t="s">
        <v>412</v>
      </c>
      <c r="B39" s="47"/>
      <c r="C39" s="48" t="s">
        <v>413</v>
      </c>
      <c r="D39" s="48"/>
      <c r="E39" s="48"/>
      <c r="F39" s="48"/>
      <c r="G39" s="48"/>
      <c r="H39" s="48"/>
      <c r="I39" s="48"/>
    </row>
    <row r="40" customFormat="false" ht="43.5" hidden="false" customHeight="true" outlineLevel="0" collapsed="false">
      <c r="A40" s="47" t="s">
        <v>414</v>
      </c>
      <c r="B40" s="47"/>
      <c r="C40" s="48" t="s">
        <v>415</v>
      </c>
      <c r="D40" s="48"/>
      <c r="E40" s="48"/>
      <c r="F40" s="48"/>
      <c r="G40" s="48"/>
      <c r="H40" s="48"/>
      <c r="I40" s="48"/>
    </row>
    <row r="41" customFormat="false" ht="43.5" hidden="false" customHeight="true" outlineLevel="0" collapsed="false">
      <c r="A41" s="47" t="s">
        <v>416</v>
      </c>
      <c r="B41" s="47"/>
      <c r="C41" s="48" t="s">
        <v>417</v>
      </c>
      <c r="D41" s="48"/>
      <c r="E41" s="48"/>
      <c r="F41" s="48"/>
      <c r="G41" s="48"/>
      <c r="H41" s="48"/>
      <c r="I41" s="48"/>
    </row>
    <row r="42" customFormat="false" ht="43.5" hidden="false" customHeight="true" outlineLevel="0" collapsed="false">
      <c r="A42" s="47" t="s">
        <v>418</v>
      </c>
      <c r="B42" s="47"/>
      <c r="C42" s="48" t="s">
        <v>419</v>
      </c>
      <c r="D42" s="48"/>
      <c r="E42" s="48"/>
      <c r="F42" s="48"/>
      <c r="G42" s="48"/>
      <c r="H42" s="48"/>
      <c r="I42" s="48"/>
    </row>
    <row r="44" customFormat="false" ht="21.75" hidden="false" customHeight="true" outlineLevel="0" collapsed="false">
      <c r="A44" s="7" t="s">
        <v>420</v>
      </c>
      <c r="B44" s="7"/>
      <c r="C44" s="7"/>
      <c r="D44" s="7"/>
      <c r="E44" s="7"/>
      <c r="F44" s="7"/>
      <c r="G44" s="7"/>
      <c r="H44" s="7"/>
      <c r="I44" s="7"/>
    </row>
    <row r="45" customFormat="false" ht="18" hidden="false" customHeight="true" outlineLevel="0" collapsed="false">
      <c r="A45" s="24" t="s">
        <v>421</v>
      </c>
      <c r="B45" s="24"/>
      <c r="C45" s="24"/>
      <c r="D45" s="24"/>
      <c r="E45" s="24"/>
      <c r="F45" s="24"/>
      <c r="G45" s="24"/>
      <c r="H45" s="24"/>
      <c r="I45" s="24"/>
    </row>
    <row r="46" customFormat="false" ht="18" hidden="false" customHeight="true" outlineLevel="0" collapsed="false">
      <c r="A46" s="24" t="s">
        <v>422</v>
      </c>
      <c r="B46" s="24"/>
      <c r="C46" s="24"/>
      <c r="D46" s="24"/>
      <c r="E46" s="24"/>
      <c r="F46" s="24"/>
      <c r="G46" s="24"/>
      <c r="H46" s="24"/>
      <c r="I46" s="24"/>
    </row>
    <row r="47" customFormat="false" ht="18" hidden="false" customHeight="true" outlineLevel="0" collapsed="false">
      <c r="A47" s="24" t="s">
        <v>423</v>
      </c>
      <c r="B47" s="24"/>
      <c r="C47" s="24"/>
      <c r="D47" s="24"/>
      <c r="E47" s="24"/>
      <c r="F47" s="24"/>
      <c r="G47" s="24"/>
      <c r="H47" s="24"/>
      <c r="I47" s="24"/>
    </row>
    <row r="48" customFormat="false" ht="18" hidden="false" customHeight="true" outlineLevel="0" collapsed="false">
      <c r="A48" s="24" t="s">
        <v>424</v>
      </c>
      <c r="B48" s="24"/>
      <c r="C48" s="24"/>
      <c r="D48" s="24"/>
      <c r="E48" s="24"/>
      <c r="F48" s="24"/>
      <c r="G48" s="24"/>
      <c r="H48" s="24"/>
      <c r="I48" s="24"/>
    </row>
    <row r="49" customFormat="false" ht="18" hidden="false" customHeight="true" outlineLevel="0" collapsed="false">
      <c r="A49" s="24" t="s">
        <v>425</v>
      </c>
      <c r="B49" s="24"/>
      <c r="C49" s="24"/>
      <c r="D49" s="24"/>
      <c r="E49" s="24"/>
      <c r="F49" s="24"/>
      <c r="G49" s="24"/>
      <c r="H49" s="24"/>
      <c r="I49" s="24"/>
    </row>
    <row r="50" customFormat="false" ht="18" hidden="false" customHeight="true" outlineLevel="0" collapsed="false">
      <c r="A50" s="24" t="s">
        <v>426</v>
      </c>
      <c r="B50" s="24"/>
      <c r="C50" s="24"/>
      <c r="D50" s="24"/>
      <c r="E50" s="24"/>
      <c r="F50" s="24"/>
      <c r="G50" s="24"/>
      <c r="H50" s="24"/>
      <c r="I50" s="24"/>
    </row>
    <row r="51" customFormat="false" ht="18" hidden="false" customHeight="true" outlineLevel="0" collapsed="false">
      <c r="A51" s="24" t="s">
        <v>427</v>
      </c>
      <c r="B51" s="24"/>
      <c r="C51" s="24"/>
      <c r="D51" s="24"/>
      <c r="E51" s="24"/>
      <c r="F51" s="24"/>
      <c r="G51" s="24"/>
      <c r="H51" s="24"/>
      <c r="I51" s="24"/>
    </row>
    <row r="52" customFormat="false" ht="18" hidden="false" customHeight="true" outlineLevel="0" collapsed="false">
      <c r="A52" s="24" t="s">
        <v>428</v>
      </c>
      <c r="B52" s="24"/>
      <c r="C52" s="24"/>
      <c r="D52" s="24"/>
      <c r="E52" s="24"/>
      <c r="F52" s="24"/>
      <c r="G52" s="24"/>
      <c r="H52" s="24"/>
      <c r="I52" s="24"/>
    </row>
    <row r="53" customFormat="false" ht="18" hidden="false" customHeight="true" outlineLevel="0" collapsed="false">
      <c r="A53" s="24" t="s">
        <v>429</v>
      </c>
      <c r="B53" s="24"/>
      <c r="C53" s="24"/>
      <c r="D53" s="24"/>
      <c r="E53" s="24"/>
      <c r="F53" s="24"/>
      <c r="G53" s="24"/>
      <c r="H53" s="24"/>
      <c r="I53" s="24"/>
    </row>
  </sheetData>
  <mergeCells count="36">
    <mergeCell ref="A1:I1"/>
    <mergeCell ref="A2:I2"/>
    <mergeCell ref="A4:I4"/>
    <mergeCell ref="A12:I12"/>
    <mergeCell ref="A30:I30"/>
    <mergeCell ref="A32:I32"/>
    <mergeCell ref="A33:B33"/>
    <mergeCell ref="C33:I33"/>
    <mergeCell ref="A34:B34"/>
    <mergeCell ref="C34:I34"/>
    <mergeCell ref="A35:B35"/>
    <mergeCell ref="C35:I35"/>
    <mergeCell ref="A36:B36"/>
    <mergeCell ref="C36:I36"/>
    <mergeCell ref="A37:B37"/>
    <mergeCell ref="C37:I37"/>
    <mergeCell ref="A38:B38"/>
    <mergeCell ref="C38:I38"/>
    <mergeCell ref="A39:B39"/>
    <mergeCell ref="C39:I39"/>
    <mergeCell ref="A40:B40"/>
    <mergeCell ref="C40:I40"/>
    <mergeCell ref="A41:B41"/>
    <mergeCell ref="C41:I41"/>
    <mergeCell ref="A42:B42"/>
    <mergeCell ref="C42:I42"/>
    <mergeCell ref="A44:I44"/>
    <mergeCell ref="A45:I45"/>
    <mergeCell ref="A46:I46"/>
    <mergeCell ref="A47:I47"/>
    <mergeCell ref="A48:I48"/>
    <mergeCell ref="A49:I49"/>
    <mergeCell ref="A50:I50"/>
    <mergeCell ref="A51:I51"/>
    <mergeCell ref="A52:I52"/>
    <mergeCell ref="A53:I5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6B7280"/>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95312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52"/>
    <col collapsed="false" customWidth="true" hidden="false" outlineLevel="0" max="4" min="4" style="0" width="22.01"/>
    <col collapsed="false" customWidth="true" hidden="false" outlineLevel="0" max="5" min="5" style="0" width="70"/>
  </cols>
  <sheetData>
    <row r="1" customFormat="false" ht="33.75" hidden="false" customHeight="true" outlineLevel="0" collapsed="false">
      <c r="A1" s="1" t="s">
        <v>430</v>
      </c>
      <c r="B1" s="1"/>
      <c r="C1" s="1"/>
      <c r="D1" s="1"/>
      <c r="E1" s="1"/>
    </row>
    <row r="2" customFormat="false" ht="24" hidden="false" customHeight="true" outlineLevel="0" collapsed="false">
      <c r="A2" s="2" t="s">
        <v>431</v>
      </c>
      <c r="B2" s="2"/>
      <c r="C2" s="2"/>
      <c r="D2" s="2"/>
      <c r="E2" s="2"/>
    </row>
    <row r="4" customFormat="false" ht="21.75" hidden="false" customHeight="true" outlineLevel="0" collapsed="false">
      <c r="A4" s="7" t="s">
        <v>432</v>
      </c>
      <c r="B4" s="7"/>
      <c r="C4" s="7"/>
      <c r="D4" s="7"/>
      <c r="E4" s="7"/>
    </row>
    <row r="5" customFormat="false" ht="21.75" hidden="false" customHeight="true" outlineLevel="0" collapsed="false">
      <c r="A5" s="8" t="s">
        <v>433</v>
      </c>
      <c r="B5" s="8" t="s">
        <v>434</v>
      </c>
      <c r="C5" s="8" t="s">
        <v>435</v>
      </c>
      <c r="D5" s="8" t="s">
        <v>359</v>
      </c>
      <c r="E5" s="8" t="s">
        <v>436</v>
      </c>
    </row>
    <row r="6" customFormat="false" ht="31.5" hidden="false" customHeight="true" outlineLevel="0" collapsed="false">
      <c r="A6" s="49" t="s">
        <v>437</v>
      </c>
      <c r="B6" s="49" t="s">
        <v>438</v>
      </c>
      <c r="C6" s="49" t="s">
        <v>439</v>
      </c>
      <c r="D6" s="49" t="s">
        <v>440</v>
      </c>
      <c r="E6" s="49" t="s">
        <v>441</v>
      </c>
    </row>
    <row r="7" customFormat="false" ht="31.5" hidden="false" customHeight="true" outlineLevel="0" collapsed="false">
      <c r="A7" s="49" t="s">
        <v>442</v>
      </c>
      <c r="B7" s="49" t="s">
        <v>443</v>
      </c>
      <c r="C7" s="49" t="s">
        <v>444</v>
      </c>
      <c r="D7" s="49" t="s">
        <v>440</v>
      </c>
      <c r="E7" s="49" t="s">
        <v>445</v>
      </c>
    </row>
    <row r="8" customFormat="false" ht="31.5" hidden="false" customHeight="true" outlineLevel="0" collapsed="false">
      <c r="A8" s="49" t="s">
        <v>446</v>
      </c>
      <c r="B8" s="49" t="s">
        <v>447</v>
      </c>
      <c r="C8" s="49" t="s">
        <v>448</v>
      </c>
      <c r="D8" s="49" t="s">
        <v>449</v>
      </c>
      <c r="E8" s="49" t="s">
        <v>450</v>
      </c>
    </row>
    <row r="9" customFormat="false" ht="31.5" hidden="false" customHeight="true" outlineLevel="0" collapsed="false">
      <c r="A9" s="49" t="s">
        <v>451</v>
      </c>
      <c r="B9" s="49" t="s">
        <v>452</v>
      </c>
      <c r="C9" s="49" t="s">
        <v>453</v>
      </c>
      <c r="D9" s="49" t="s">
        <v>454</v>
      </c>
      <c r="E9" s="49" t="s">
        <v>455</v>
      </c>
    </row>
    <row r="10" customFormat="false" ht="31.5" hidden="false" customHeight="true" outlineLevel="0" collapsed="false">
      <c r="A10" s="49" t="s">
        <v>456</v>
      </c>
      <c r="B10" s="49" t="s">
        <v>457</v>
      </c>
      <c r="C10" s="49" t="s">
        <v>458</v>
      </c>
      <c r="D10" s="49" t="s">
        <v>459</v>
      </c>
      <c r="E10" s="49" t="s">
        <v>460</v>
      </c>
    </row>
    <row r="12" customFormat="false" ht="21.75" hidden="false" customHeight="true" outlineLevel="0" collapsed="false">
      <c r="A12" s="7" t="s">
        <v>461</v>
      </c>
      <c r="B12" s="7"/>
      <c r="C12" s="7"/>
      <c r="D12" s="7"/>
      <c r="E12" s="7"/>
    </row>
    <row r="13" customFormat="false" ht="33.75" hidden="false" customHeight="true" outlineLevel="0" collapsed="false">
      <c r="A13" s="50" t="s">
        <v>462</v>
      </c>
      <c r="B13" s="50"/>
      <c r="C13" s="48" t="s">
        <v>463</v>
      </c>
      <c r="D13" s="48"/>
      <c r="E13" s="48"/>
    </row>
    <row r="14" customFormat="false" ht="33.75" hidden="false" customHeight="true" outlineLevel="0" collapsed="false">
      <c r="A14" s="50" t="s">
        <v>13</v>
      </c>
      <c r="B14" s="50"/>
      <c r="C14" s="48" t="s">
        <v>464</v>
      </c>
      <c r="D14" s="48"/>
      <c r="E14" s="48"/>
    </row>
    <row r="15" customFormat="false" ht="33.75" hidden="false" customHeight="true" outlineLevel="0" collapsed="false">
      <c r="A15" s="50" t="s">
        <v>465</v>
      </c>
      <c r="B15" s="50"/>
      <c r="C15" s="48" t="s">
        <v>466</v>
      </c>
      <c r="D15" s="48"/>
      <c r="E15" s="48"/>
    </row>
    <row r="16" customFormat="false" ht="33.75" hidden="false" customHeight="true" outlineLevel="0" collapsed="false">
      <c r="A16" s="50" t="s">
        <v>15</v>
      </c>
      <c r="B16" s="50"/>
      <c r="C16" s="48" t="s">
        <v>467</v>
      </c>
      <c r="D16" s="48"/>
      <c r="E16" s="48"/>
    </row>
    <row r="17" customFormat="false" ht="33.75" hidden="false" customHeight="true" outlineLevel="0" collapsed="false">
      <c r="A17" s="50" t="s">
        <v>468</v>
      </c>
      <c r="B17" s="50"/>
      <c r="C17" s="48" t="s">
        <v>469</v>
      </c>
      <c r="D17" s="48"/>
      <c r="E17" s="48"/>
    </row>
    <row r="18" customFormat="false" ht="33.75" hidden="false" customHeight="true" outlineLevel="0" collapsed="false">
      <c r="A18" s="50" t="s">
        <v>470</v>
      </c>
      <c r="B18" s="50"/>
      <c r="C18" s="48" t="s">
        <v>471</v>
      </c>
      <c r="D18" s="48"/>
      <c r="E18" s="48"/>
    </row>
    <row r="19" customFormat="false" ht="33.75" hidden="false" customHeight="true" outlineLevel="0" collapsed="false">
      <c r="A19" s="50" t="s">
        <v>472</v>
      </c>
      <c r="B19" s="50"/>
      <c r="C19" s="48" t="s">
        <v>473</v>
      </c>
      <c r="D19" s="48"/>
      <c r="E19" s="48"/>
    </row>
    <row r="20" customFormat="false" ht="33.75" hidden="false" customHeight="true" outlineLevel="0" collapsed="false">
      <c r="A20" s="50" t="s">
        <v>474</v>
      </c>
      <c r="B20" s="50"/>
      <c r="C20" s="48" t="s">
        <v>475</v>
      </c>
      <c r="D20" s="48"/>
      <c r="E20" s="48"/>
    </row>
    <row r="22" customFormat="false" ht="18" hidden="false" customHeight="true" outlineLevel="0" collapsed="false">
      <c r="A22" s="7" t="s">
        <v>476</v>
      </c>
      <c r="B22" s="7"/>
      <c r="C22" s="7"/>
      <c r="D22" s="7"/>
      <c r="E22" s="7"/>
    </row>
    <row r="23" customFormat="false" ht="48" hidden="false" customHeight="true" outlineLevel="0" collapsed="false">
      <c r="A23" s="50" t="s">
        <v>477</v>
      </c>
      <c r="B23" s="50"/>
      <c r="C23" s="48" t="s">
        <v>478</v>
      </c>
      <c r="D23" s="48"/>
      <c r="E23" s="48"/>
    </row>
    <row r="24" customFormat="false" ht="48" hidden="false" customHeight="true" outlineLevel="0" collapsed="false">
      <c r="A24" s="50" t="s">
        <v>479</v>
      </c>
      <c r="B24" s="50"/>
      <c r="C24" s="48" t="s">
        <v>480</v>
      </c>
      <c r="D24" s="48"/>
      <c r="E24" s="48"/>
    </row>
    <row r="25" customFormat="false" ht="48" hidden="false" customHeight="true" outlineLevel="0" collapsed="false">
      <c r="A25" s="50" t="s">
        <v>481</v>
      </c>
      <c r="B25" s="50"/>
      <c r="C25" s="48" t="s">
        <v>482</v>
      </c>
      <c r="D25" s="48"/>
      <c r="E25" s="48"/>
    </row>
    <row r="26" customFormat="false" ht="48" hidden="false" customHeight="true" outlineLevel="0" collapsed="false">
      <c r="A26" s="50" t="s">
        <v>483</v>
      </c>
      <c r="B26" s="50"/>
      <c r="C26" s="48" t="s">
        <v>484</v>
      </c>
      <c r="D26" s="48"/>
      <c r="E26" s="48"/>
    </row>
    <row r="27" customFormat="false" ht="48" hidden="false" customHeight="true" outlineLevel="0" collapsed="false">
      <c r="A27" s="50" t="s">
        <v>485</v>
      </c>
      <c r="B27" s="50"/>
      <c r="C27" s="48" t="s">
        <v>486</v>
      </c>
      <c r="D27" s="48"/>
      <c r="E27" s="48"/>
    </row>
  </sheetData>
  <mergeCells count="31">
    <mergeCell ref="A1:E1"/>
    <mergeCell ref="A2:E2"/>
    <mergeCell ref="A4:E4"/>
    <mergeCell ref="A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2:E22"/>
    <mergeCell ref="A23:B23"/>
    <mergeCell ref="C23:E23"/>
    <mergeCell ref="A24:B24"/>
    <mergeCell ref="C24:E24"/>
    <mergeCell ref="A25:B25"/>
    <mergeCell ref="C25:E25"/>
    <mergeCell ref="A26:B26"/>
    <mergeCell ref="C26:E26"/>
    <mergeCell ref="A27:B27"/>
    <mergeCell ref="C27:E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2026-10-22T04:12:28Z</dcterms:created>
  <dc:creator>openpyxl</dc:creator>
  <dc:description/>
  <dc:language>en-US</dc:language>
  <cp:lastModifiedBy/>
  <dcterms:modified xsi:type="dcterms:W3CDTF">2026-10-22T04:12:30Z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